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" sheetId="1" r:id="rId5"/>
    <sheet state="visible" name="Copy of Sources" sheetId="2" r:id="rId6"/>
    <sheet state="visible" name="Sheet4" sheetId="3" r:id="rId7"/>
    <sheet state="visible" name="Sheet3" sheetId="4" r:id="rId8"/>
    <sheet state="visible" name="Sheet2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tc={0304bed1-497c-4d57-b333-fbca8f3202a4}</author>
    <author>tc={5e4dfdac-ef85-4efb-8f57-52577402bbf8}</author>
    <author>tc={64ce57e6-fa5c-4a9e-a687-f9db47212f0f}</author>
    <author>tc={7f42db7e-01ab-4d23-af50-9aea68cc9682}</author>
    <author>tc={abdc0a9b-1a54-4a8c-886e-115f9e7f3517}</author>
    <author>tc={d6249e37-66a0-4184-8723-c4ba02bff9a4}</author>
  </authors>
  <commentList>
    <comment authorId="0" xr:uid="{0304bed1-497c-4d57-b333-fbca8f3202a4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@shivanshu.sharma@inverv.com
Assigned to shivanshu.sharma@inverv.com
</t>
      </text>
    </comment>
    <comment authorId="1" xr:uid="{5e4dfdac-ef85-4efb-8f57-52577402bbf8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@shivanshu.sharma@inverv.com
Assigned to shivanshu.sharma@inverv.com
</t>
      </text>
    </comment>
    <comment authorId="2" xr:uid="{64ce57e6-fa5c-4a9e-a687-f9db47212f0f}" ref="B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@akhilesh.kuriyal@inverv.com please complete for all your districts
Assigned to 
</t>
      </text>
    </comment>
    <comment authorId="3" xr:uid="{7f42db7e-01ab-4d23-af50-9aea68cc9682}" ref="B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@aryan.kashyap@inverv.com please complete for all your districts
Assigned to aryan.kashyap@inverv.com
</t>
      </text>
    </comment>
    <comment authorId="4" xr:uid="{abdc0a9b-1a54-4a8c-886e-115f9e7f3517}" ref="B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@avishka.tandon@inverv.com please close for all your districts
Assigned to 
</t>
      </text>
    </comment>
    <comment authorId="5" xr:uid="{d6249e37-66a0-4184-8723-c4ba02bff9a4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@shivanshu.sharma@inverv.com
Assigned to shivanshu.sharma@inverv.com
</t>
      </text>
    </comment>
  </commentList>
</comments>
</file>

<file path=xl/sharedStrings.xml><?xml version="1.0" encoding="utf-8"?>
<sst xmlns="http://schemas.openxmlformats.org/spreadsheetml/2006/main" count="13607" uniqueCount="1122">
  <si>
    <t>Uttar Pradesh</t>
  </si>
  <si>
    <t>OIC</t>
  </si>
  <si>
    <t>Akash</t>
  </si>
  <si>
    <t>Amar Ujala - Uttar Pradesh</t>
  </si>
  <si>
    <t>https://www.amarujala.com/uttar-pradesh</t>
  </si>
  <si>
    <t>Source Name</t>
  </si>
  <si>
    <t>URL</t>
  </si>
  <si>
    <t>Level of News</t>
  </si>
  <si>
    <t>Level Name</t>
  </si>
  <si>
    <t>Language</t>
  </si>
  <si>
    <t>Source Type</t>
  </si>
  <si>
    <t>Biased / Unbiased</t>
  </si>
  <si>
    <t>Biased Type</t>
  </si>
  <si>
    <t>Frequency</t>
  </si>
  <si>
    <t>Originality</t>
  </si>
  <si>
    <t>https://cms.patrika.com/blog/location/uttar-pradesh-news/feed/</t>
  </si>
  <si>
    <t>First to break news</t>
  </si>
  <si>
    <t>RSS Feed URL</t>
  </si>
  <si>
    <t>https://www.patrika.com/uttar-pradesh-news</t>
  </si>
  <si>
    <t>National</t>
  </si>
  <si>
    <t>-</t>
  </si>
  <si>
    <t>Digital</t>
  </si>
  <si>
    <t xml:space="preserve">Is biased </t>
  </si>
  <si>
    <t>Biased in favour of BJP etc</t>
  </si>
  <si>
    <t>How frequently are articles published,
Hourly, Daily, Weekly etc</t>
  </si>
  <si>
    <t>Original vs quoting sources</t>
  </si>
  <si>
    <t>Yes/No</t>
  </si>
  <si>
    <t>If available</t>
  </si>
  <si>
    <t>State</t>
  </si>
  <si>
    <t>Telangana</t>
  </si>
  <si>
    <t>Epaper</t>
  </si>
  <si>
    <t>District</t>
  </si>
  <si>
    <t>Adilabad</t>
  </si>
  <si>
    <t>Youtube Channel / Mobile App</t>
  </si>
  <si>
    <t>AC</t>
  </si>
  <si>
    <t>Twitter Handle / FB page etc</t>
  </si>
  <si>
    <t>Start populating data below</t>
  </si>
  <si>
    <t>Dainik Bhaskar</t>
  </si>
  <si>
    <t>https://www.bhaskar.com/mera-shaher/local/uttar-pradesh/</t>
  </si>
  <si>
    <t>Hindi</t>
  </si>
  <si>
    <t>RSS Feed Link</t>
  </si>
  <si>
    <t>Site Link</t>
  </si>
  <si>
    <t>Is Unbiased</t>
  </si>
  <si>
    <t>Neutral</t>
  </si>
  <si>
    <r>
      <rPr>
        <rFont val="&quot;Noto Sans Devanagari&quot;, sans-serif"/>
        <color rgb="FF1155CC"/>
        <u/>
      </rPr>
      <t>https://cms.patrika.com/blog/location/uttar-pradesh-news/feed/</t>
    </r>
  </si>
  <si>
    <t>Hourly</t>
  </si>
  <si>
    <t>Original</t>
  </si>
  <si>
    <t>No</t>
  </si>
  <si>
    <t>https://www.amarujala.com/rss/uttar-pradesh.xml</t>
  </si>
  <si>
    <t>Agra</t>
  </si>
  <si>
    <t>https://cms.patrika.com/blog/location/agra-news/feed/</t>
  </si>
  <si>
    <t>https://www.patrika.com/agra-news</t>
  </si>
  <si>
    <r>
      <rPr>
        <color rgb="FF1155CC"/>
        <u/>
      </rPr>
      <t>RSS</t>
    </r>
  </si>
  <si>
    <t>Site</t>
  </si>
  <si>
    <t>Yes</t>
  </si>
  <si>
    <t>https://www.bhaskar.com/rss-v1--category-2052.xml</t>
  </si>
  <si>
    <t>Firozabad</t>
  </si>
  <si>
    <t>https://cms.patrika.com/blog/location/firozabad-news/feed/</t>
  </si>
  <si>
    <t>https://www.patrika.com/firozabad-news</t>
  </si>
  <si>
    <r>
      <rPr>
        <color rgb="FF1155CC"/>
        <u/>
      </rPr>
      <t>RSS</t>
    </r>
  </si>
  <si>
    <t>Amar Ujala- Gorakhpur</t>
  </si>
  <si>
    <t>https://www.amarujala.com/uttar-pradesh/gorakhpur</t>
  </si>
  <si>
    <r>
      <rPr>
        <rFont val="&quot;Noto Sans Devanagari&quot;, sans-serif"/>
        <color rgb="FF1155CC"/>
        <u/>
      </rPr>
      <t>https://cms.patrika.com/blog/location/agra-news/feed/</t>
    </r>
  </si>
  <si>
    <t>Mainpuri</t>
  </si>
  <si>
    <t>https://cms.patrika.com/blog/location/mainpuri-news/feed/</t>
  </si>
  <si>
    <t>https://www.patrika.com/mainpuri-news</t>
  </si>
  <si>
    <t>Gorakhpur</t>
  </si>
  <si>
    <r>
      <rPr>
        <color rgb="FF1155CC"/>
        <u/>
      </rPr>
      <t>RSS</t>
    </r>
  </si>
  <si>
    <t>https://www.amarujala.com/rss/gorakhpur.xml</t>
  </si>
  <si>
    <t>Mathura</t>
  </si>
  <si>
    <t>https://cms.patrika.com/blog/location/mathura-news/feed/</t>
  </si>
  <si>
    <t>Amar Ujala-Lucknow</t>
  </si>
  <si>
    <t>https://www.patrika.com/mathura-news</t>
  </si>
  <si>
    <t>https://www.amarujala.com/uttar-pradesh/lucknow</t>
  </si>
  <si>
    <r>
      <rPr>
        <color rgb="FF1155CC"/>
        <u/>
      </rPr>
      <t>RSS</t>
    </r>
  </si>
  <si>
    <t>Lucknow</t>
  </si>
  <si>
    <t>https://www.amarujala.com/rss/lucknow.xml</t>
  </si>
  <si>
    <r>
      <rPr>
        <rFont val="&quot;Noto Sans Devanagari&quot;, sans-serif"/>
        <color rgb="FF1155CC"/>
        <u/>
      </rPr>
      <t>https://cms.patrika.com/blog/location/firozabad-news/feed/</t>
    </r>
  </si>
  <si>
    <t>Aligarh</t>
  </si>
  <si>
    <t>https://cms.patrika.com/blog/location/aligarh-news/feed/</t>
  </si>
  <si>
    <t>https://www.patrika.com/aligarh-news</t>
  </si>
  <si>
    <t>Amar Ujala-Amroha</t>
  </si>
  <si>
    <t>https://www.amarujala.com/uttar-pradesh/amroha</t>
  </si>
  <si>
    <r>
      <rPr>
        <color rgb="FF1155CC"/>
        <u/>
      </rPr>
      <t>RSS</t>
    </r>
  </si>
  <si>
    <t>Amroha</t>
  </si>
  <si>
    <t>https://www.amarujala.com/rss/amroha.xml</t>
  </si>
  <si>
    <t>Etah</t>
  </si>
  <si>
    <t>https://cms.patrika.com/blog/location/etah-news/feed/</t>
  </si>
  <si>
    <t>https://www.patrika.com/etah-news</t>
  </si>
  <si>
    <t>Amar Ujala-Amethi</t>
  </si>
  <si>
    <t>https://www.amarujala.com/uttar-pradesh/amethi</t>
  </si>
  <si>
    <r>
      <rPr>
        <color rgb="FF1155CC"/>
        <u/>
      </rPr>
      <t>RSS</t>
    </r>
  </si>
  <si>
    <t>Amethi</t>
  </si>
  <si>
    <r>
      <rPr>
        <rFont val="&quot;Noto Sans Devanagari&quot;, sans-serif"/>
        <color rgb="FF1155CC"/>
        <u/>
      </rPr>
      <t>https://cms.patrika.com/blog/location/mainpuri-news/feed/</t>
    </r>
  </si>
  <si>
    <t>https://www.amarujala.com/rss/amethi.xml</t>
  </si>
  <si>
    <t>Etawah</t>
  </si>
  <si>
    <t>https://cms.patrika.com/blog/location/etawah-news/feed/</t>
  </si>
  <si>
    <t>https://www.patrika.com/etawah-news</t>
  </si>
  <si>
    <r>
      <rPr>
        <color rgb="FF1155CC"/>
        <u/>
      </rPr>
      <t>RSS</t>
    </r>
  </si>
  <si>
    <t>Amar Ujala-Ambedkar Nagar</t>
  </si>
  <si>
    <t>https://www.amarujala.com/uttar-pradesh/ambedkar-nagar</t>
  </si>
  <si>
    <t>Hathras</t>
  </si>
  <si>
    <t>https://cms.patrika.com/blog/location/hathras-news/feed/</t>
  </si>
  <si>
    <t>https://www.patrika.com/hathras-news</t>
  </si>
  <si>
    <t>Ambedkar Nagar</t>
  </si>
  <si>
    <r>
      <rPr>
        <color rgb="FF1155CC"/>
        <u/>
      </rPr>
      <t>RSS</t>
    </r>
  </si>
  <si>
    <t>https://www.amarujala.com/rss/ambedkar-nagar.xml</t>
  </si>
  <si>
    <r>
      <rPr>
        <rFont val="&quot;Noto Sans Devanagari&quot;, sans-serif"/>
        <color rgb="FF1155CC"/>
        <u/>
      </rPr>
      <t>https://cms.patrika.com/blog/location/mathura-news/feed/</t>
    </r>
  </si>
  <si>
    <t>Kasganj</t>
  </si>
  <si>
    <t>https://cms.patrika.com/blog/location/kasganj-news/feed/</t>
  </si>
  <si>
    <t>Amar Ujala-Faizabad</t>
  </si>
  <si>
    <t>https://www.amarujala.com/uttar-pradesh/faizabad</t>
  </si>
  <si>
    <t>https://www.patrika.com/kasganj-news</t>
  </si>
  <si>
    <t>Faizabad</t>
  </si>
  <si>
    <t>https://www.amarujala.com/rss/faizabad.xml</t>
  </si>
  <si>
    <r>
      <rPr>
        <color rgb="FF1155CC"/>
        <u/>
      </rPr>
      <t>RSS</t>
    </r>
  </si>
  <si>
    <t>Amar Ujala-Aligarh</t>
  </si>
  <si>
    <t>Kaushambi</t>
  </si>
  <si>
    <t>https://www.amarujala.com/uttar-pradesh/aligarh</t>
  </si>
  <si>
    <t>https://cms.patrika.com/blog/location/kaushambi-news/feed/</t>
  </si>
  <si>
    <t>https://www.patrika.com/kaushambi-news</t>
  </si>
  <si>
    <r>
      <rPr>
        <color rgb="FF1155CC"/>
        <u/>
      </rPr>
      <t>RSS</t>
    </r>
  </si>
  <si>
    <t>https://www.amarujala.com/rss/aligarh.xml</t>
  </si>
  <si>
    <r>
      <rPr>
        <rFont val="&quot;Noto Sans Devanagari&quot;, sans-serif"/>
        <color rgb="FF1155CC"/>
        <u/>
      </rPr>
      <t>https://cms.patrika.com/blog/location/aligarh-news/feed/</t>
    </r>
  </si>
  <si>
    <t>Prayagraj</t>
  </si>
  <si>
    <t>https://cms.patrika.com/blog/location/prayagraj/feed/</t>
  </si>
  <si>
    <t>https://www.patrika.com/prayagraj-news</t>
  </si>
  <si>
    <r>
      <rPr>
        <color rgb="FF1155CC"/>
        <u/>
      </rPr>
      <t>RSS</t>
    </r>
  </si>
  <si>
    <t>Amar Ujala-Agra</t>
  </si>
  <si>
    <t>https://www.amarujala.com/uttar-pradesh/agra</t>
  </si>
  <si>
    <t>Fatehpur</t>
  </si>
  <si>
    <t>https://cms.patrika.com/blog/location/fatehpur-news/feed/</t>
  </si>
  <si>
    <t>https://www.patrika.com/fatehpur-news</t>
  </si>
  <si>
    <r>
      <rPr>
        <color rgb="FF1155CC"/>
        <u/>
      </rPr>
      <t>RSS</t>
    </r>
  </si>
  <si>
    <t>https://www.amarujala.com/rss/agra.xml</t>
  </si>
  <si>
    <r>
      <rPr>
        <rFont val="&quot;Noto Sans Devanagari&quot;, sans-serif"/>
        <color rgb="FF1155CC"/>
        <u/>
      </rPr>
      <t>https://cms.patrika.com/blog/location/etah-news/feed/</t>
    </r>
  </si>
  <si>
    <t>Pratapgarh</t>
  </si>
  <si>
    <t>https://cms.patrika.com/blog/location/pratapgarh-up-news/feed/</t>
  </si>
  <si>
    <t>https://www.patrika.com/pratapgarh-news</t>
  </si>
  <si>
    <t>Amar Ujala-Azamgarh</t>
  </si>
  <si>
    <t>https://www.amarujala.com/uttar-pradesh/azamgarh</t>
  </si>
  <si>
    <r>
      <rPr>
        <color rgb="FF1155CC"/>
        <u/>
      </rPr>
      <t>RSS</t>
    </r>
  </si>
  <si>
    <t>Azamgarh</t>
  </si>
  <si>
    <t>https://cms.patrika.com/blog/location/azamgarh-news/feed/</t>
  </si>
  <si>
    <t>https://www.patrika.com/azamgarh-news</t>
  </si>
  <si>
    <t>https://www.amarujala.com/rss/azamgarh.xml</t>
  </si>
  <si>
    <r>
      <rPr>
        <color rgb="FF1155CC"/>
        <u/>
      </rPr>
      <t>RSS</t>
    </r>
  </si>
  <si>
    <r>
      <rPr>
        <rFont val="&quot;Noto Sans Devanagari&quot;, sans-serif"/>
        <color rgb="FF1155CC"/>
        <u/>
      </rPr>
      <t>https://cms.patrika.com/blog/location/etawah-news/feed/</t>
    </r>
  </si>
  <si>
    <t>Ballia</t>
  </si>
  <si>
    <t>Amar Ujala-Etawah</t>
  </si>
  <si>
    <t>https://cms.patrika.com/blog/location/ballia-news/feed/</t>
  </si>
  <si>
    <t>https://www.amarujala.com/uttar-pradesh/etawah</t>
  </si>
  <si>
    <t>https://www.patrika.com/ballia-news</t>
  </si>
  <si>
    <r>
      <rPr>
        <color rgb="FF1155CC"/>
        <u/>
      </rPr>
      <t>RSS</t>
    </r>
  </si>
  <si>
    <t>https://www.amarujala.com/rss/etawah.xml</t>
  </si>
  <si>
    <t>Mau</t>
  </si>
  <si>
    <t>https://cms.patrika.com/blog/location/mau-news/feed/</t>
  </si>
  <si>
    <t>Amar Ujala-Unnao</t>
  </si>
  <si>
    <t>https://www.patrika.com/mau-news</t>
  </si>
  <si>
    <t>https://www.amarujala.com/uttar-pradesh/unnao</t>
  </si>
  <si>
    <r>
      <rPr>
        <color rgb="FF1155CC"/>
        <u/>
      </rPr>
      <t>RSS</t>
    </r>
  </si>
  <si>
    <t>Unnao</t>
  </si>
  <si>
    <r>
      <rPr>
        <rFont val="&quot;Noto Sans Devanagari&quot;, sans-serif"/>
        <color rgb="FF1155CC"/>
        <u/>
      </rPr>
      <t>https://cms.patrika.com/blog/location/hathras-news/feed/</t>
    </r>
  </si>
  <si>
    <t>https://www.amarujala.com/rss/unnao.xml</t>
  </si>
  <si>
    <t>Bareilly</t>
  </si>
  <si>
    <t>https://cms.patrika.com/blog/location/bareilly-news/feed/</t>
  </si>
  <si>
    <t>https://www.patrika.com/bareilly-news</t>
  </si>
  <si>
    <t>Amar Ujala-Etah</t>
  </si>
  <si>
    <t>https://www.amarujala.com/uttar-pradesh/etah</t>
  </si>
  <si>
    <r>
      <rPr>
        <color rgb="FF1155CC"/>
        <u/>
      </rPr>
      <t>RSS</t>
    </r>
  </si>
  <si>
    <t>Budaun</t>
  </si>
  <si>
    <t>https://cms.patrika.com/blog/location/budaun-news/feed/</t>
  </si>
  <si>
    <t>https://www.patrika.com/budaun-news</t>
  </si>
  <si>
    <t>https://www.amarujala.com/rss/etah.xml</t>
  </si>
  <si>
    <r>
      <rPr>
        <color rgb="FF1155CC"/>
        <u/>
      </rPr>
      <t>RSS</t>
    </r>
  </si>
  <si>
    <t>Amar Ujala-Auraiya</t>
  </si>
  <si>
    <r>
      <rPr>
        <rFont val="&quot;Noto Sans Devanagari&quot;, sans-serif"/>
        <color rgb="FF1155CC"/>
        <u/>
      </rPr>
      <t>https://cms.patrika.com/blog/location/kasganj-news/feed/</t>
    </r>
  </si>
  <si>
    <t>https://www.amarujala.com/uttar-pradesh/auraiya</t>
  </si>
  <si>
    <t>Pilibhit</t>
  </si>
  <si>
    <t>https://cms.patrika.com/blog/location/pilibhit-news/feed/</t>
  </si>
  <si>
    <t>https://www.patrika.com/pilibhit-news</t>
  </si>
  <si>
    <t>Auraiya</t>
  </si>
  <si>
    <r>
      <rPr>
        <color rgb="FF1155CC"/>
        <u/>
      </rPr>
      <t>RSS</t>
    </r>
  </si>
  <si>
    <t>https://www.amarujala.com/rss/auraiya.xml</t>
  </si>
  <si>
    <t>Shahjahanpur</t>
  </si>
  <si>
    <t>https://cms.patrika.com/blog/location/shahjahanpur-news/feed/</t>
  </si>
  <si>
    <t>Amar Ujala-Kannauj</t>
  </si>
  <si>
    <t>https://www.patrika.com/shahjahanpur-news</t>
  </si>
  <si>
    <t>https://www.amarujala.com/uttar-pradesh/kannauj</t>
  </si>
  <si>
    <r>
      <rPr>
        <color rgb="FF1155CC"/>
        <u/>
      </rPr>
      <t>RSS</t>
    </r>
  </si>
  <si>
    <t>Kannauj</t>
  </si>
  <si>
    <r>
      <rPr>
        <rFont val="&quot;Noto Sans Devanagari&quot;, sans-serif"/>
        <color rgb="FF1155CC"/>
        <u/>
      </rPr>
      <t>https://cms.patrika.com/blog/location/kaushambi-news/feed/</t>
    </r>
  </si>
  <si>
    <t>https://www.amarujala.com/rss/kannauj.xml</t>
  </si>
  <si>
    <t>Basti</t>
  </si>
  <si>
    <t>https://cms.patrika.com/blog/location/basti-news/feed/</t>
  </si>
  <si>
    <t>https://www.patrika.com/basti-news</t>
  </si>
  <si>
    <t>Amar Ujala-Kanpur</t>
  </si>
  <si>
    <t>https://www.amarujala.com/uttar-pradesh/kanpur</t>
  </si>
  <si>
    <r>
      <rPr>
        <color rgb="FF1155CC"/>
        <u/>
      </rPr>
      <t>RSS</t>
    </r>
  </si>
  <si>
    <t>Kanpur</t>
  </si>
  <si>
    <t>Sant Kabir Nagar</t>
  </si>
  <si>
    <t>https://cms.patrika.com/blog/location/sant-kabir-nagar-news/feed/</t>
  </si>
  <si>
    <t>https://www.patrika.com/sant-kabir-nagar-news</t>
  </si>
  <si>
    <t>https://www.amarujala.com/rss/kanpur.xml</t>
  </si>
  <si>
    <r>
      <rPr>
        <rFont val="&quot;Noto Sans Devanagari&quot;, sans-serif"/>
        <color rgb="FF1155CC"/>
        <u/>
      </rPr>
      <t>https://cms.patrika.com/blog/location/prayagraj/feed/</t>
    </r>
  </si>
  <si>
    <t>Amar Ujala-Kushinagar</t>
  </si>
  <si>
    <t>https://www.amarujala.com/uttar-pradesh/kushinagar</t>
  </si>
  <si>
    <t>Sidharthnagar</t>
  </si>
  <si>
    <t>https://cms.patrika.com/blog/location/sidharthnagar-news/feed/</t>
  </si>
  <si>
    <t>https://www.patrika.com/sidharthnagar-news</t>
  </si>
  <si>
    <t>Kushinagar</t>
  </si>
  <si>
    <t>Banda</t>
  </si>
  <si>
    <t>https://www.amarujala.com/rss/kushinagar.xml</t>
  </si>
  <si>
    <t>https://cms.patrika.com/blog/location/banda-news/feed/</t>
  </si>
  <si>
    <t>https://www.patrika.com/banda-news</t>
  </si>
  <si>
    <t>Amar Ujala-Kaushambi</t>
  </si>
  <si>
    <t>https://www.amarujala.com/uttar-pradesh/kaushambi</t>
  </si>
  <si>
    <r>
      <rPr>
        <rFont val="&quot;Noto Sans Devanagari&quot;, sans-serif"/>
        <color rgb="FF1155CC"/>
        <u/>
      </rPr>
      <t>https://cms.patrika.com/blog/location/fatehpur-news/feed/</t>
    </r>
  </si>
  <si>
    <t>Chitrakoot</t>
  </si>
  <si>
    <t>https://cms.patrika.com/blog/location/chitrakoot-news/feed/</t>
  </si>
  <si>
    <t>https://www.patrika.com/chitrakoot-news</t>
  </si>
  <si>
    <t>https://www.amarujala.com/rss/kaushambi.xml</t>
  </si>
  <si>
    <t>Hamirpur</t>
  </si>
  <si>
    <t>https://cms.patrika.com/blog/location/hamirpur-news/feed/</t>
  </si>
  <si>
    <t>https://www.patrika.com/hamirpur-news</t>
  </si>
  <si>
    <t>Amar Ujala-Ghazipur</t>
  </si>
  <si>
    <t>https://www.amarujala.com/uttar-pradesh/ghazipur</t>
  </si>
  <si>
    <r>
      <rPr>
        <rFont val="&quot;Noto Sans Devanagari&quot;, sans-serif"/>
        <color rgb="FF1155CC"/>
        <u/>
      </rPr>
      <t>https://cms.patrika.com/blog/location/pratapgarh-up-news/feed/</t>
    </r>
  </si>
  <si>
    <t>Mahoba</t>
  </si>
  <si>
    <t>https://cms.patrika.com/blog/location/mahoba-news/feed/</t>
  </si>
  <si>
    <t>https://www.patrika.com/mahoba-news</t>
  </si>
  <si>
    <t>Ghazipur</t>
  </si>
  <si>
    <t>https://www.amarujala.com/rss/ghazipur.xml</t>
  </si>
  <si>
    <t>Bahraich</t>
  </si>
  <si>
    <t>https://cms.patrika.com/blog/location/bahraich-news/feed/</t>
  </si>
  <si>
    <t>https://www.patrika.com/bahraich-news</t>
  </si>
  <si>
    <t>Amar Ujala-Gonda</t>
  </si>
  <si>
    <t>https://www.amarujala.com/uttar-pradesh/gonda</t>
  </si>
  <si>
    <t>Gonda</t>
  </si>
  <si>
    <r>
      <rPr>
        <rFont val="&quot;Noto Sans Devanagari&quot;, sans-serif"/>
        <color rgb="FF1155CC"/>
        <u/>
      </rPr>
      <t>https://cms.patrika.com/blog/location/azamgarh-news/feed/</t>
    </r>
  </si>
  <si>
    <t>Balrampur</t>
  </si>
  <si>
    <t>https://www.amarujala.com/rss/gonda.xml</t>
  </si>
  <si>
    <t>https://cms.patrika.com/blog/location/balrampur-up-news/feed/</t>
  </si>
  <si>
    <t>https://www.patrika.com/balrampur-news</t>
  </si>
  <si>
    <t>Amar Ujala-Ghatampur</t>
  </si>
  <si>
    <t>https://www.amarujala.com/uttar-pradesh/ghatampur</t>
  </si>
  <si>
    <t>https://cms.patrika.com/blog/location/gonda-news/feed/</t>
  </si>
  <si>
    <t>https://www.patrika.com/gonda-news</t>
  </si>
  <si>
    <t>Ghatampur</t>
  </si>
  <si>
    <t>https://www.amarujala.com/rss/ghatampur.xml</t>
  </si>
  <si>
    <r>
      <rPr>
        <rFont val="&quot;Noto Sans Devanagari&quot;, sans-serif"/>
        <color rgb="FF1155CC"/>
        <u/>
      </rPr>
      <t>https://cms.patrika.com/blog/location/ballia-news/feed/</t>
    </r>
  </si>
  <si>
    <t>Shravasti</t>
  </si>
  <si>
    <t>https://cms.patrika.com/blog/location/shravasti-news/feed/</t>
  </si>
  <si>
    <t>https://www.patrika.com/shravasti-news</t>
  </si>
  <si>
    <t>Amar Ujala-Chandauli</t>
  </si>
  <si>
    <t>https://www.amarujala.com/uttar-pradesh/chandauli</t>
  </si>
  <si>
    <t>https://cms.patrika.com/blog/location/ambedkar-nagar-news/feed/</t>
  </si>
  <si>
    <t>https://www.patrika.com/ambedkar-nagar-news</t>
  </si>
  <si>
    <t>Chandauli</t>
  </si>
  <si>
    <t>https://www.amarujala.com/rss/chandauli.xml</t>
  </si>
  <si>
    <r>
      <rPr>
        <rFont val="&quot;Noto Sans Devanagari&quot;, sans-serif"/>
        <color rgb="FF1155CC"/>
        <u/>
      </rPr>
      <t>https://cms.patrika.com/blog/location/mau-news/feed/</t>
    </r>
  </si>
  <si>
    <t>https://cms.patrika.com/blog/location/amethi-news/feed/</t>
  </si>
  <si>
    <t>https://www.patrika.com/amethi-news</t>
  </si>
  <si>
    <t>Amar Ujala-Chitrakoot</t>
  </si>
  <si>
    <t>https://www.amarujala.com/uttar-pradesh/chitrakoot</t>
  </si>
  <si>
    <t>Ayodhya</t>
  </si>
  <si>
    <t>https://cms.patrika.com/blog/location/ayodhya-news/feed/</t>
  </si>
  <si>
    <t>https://www.patrika.com/ayodhya-news</t>
  </si>
  <si>
    <t>https://www.amarujala.com/rss/chitrakoot.xml</t>
  </si>
  <si>
    <r>
      <rPr>
        <rFont val="&quot;Noto Sans Devanagari&quot;, sans-serif"/>
        <color rgb="FF1155CC"/>
        <u/>
      </rPr>
      <t>https://cms.patrika.com/blog/location/bareilly-news/feed/</t>
    </r>
  </si>
  <si>
    <t>Barabanki</t>
  </si>
  <si>
    <t>https://cms.patrika.com/blog/location/barabanki-news/feed/</t>
  </si>
  <si>
    <t>https://www.patrika.com/barabanki-news</t>
  </si>
  <si>
    <t>Amar Ujala-Jalaun</t>
  </si>
  <si>
    <t>https://www.amarujala.com/uttar-pradesh/jalaun</t>
  </si>
  <si>
    <t>https://cms.patrika.com/blog/location/faizabad-news/feed/</t>
  </si>
  <si>
    <t>https://www.patrika.com/faizabad-news</t>
  </si>
  <si>
    <r>
      <rPr>
        <rFont val="&quot;Noto Sans Devanagari&quot;, sans-serif"/>
        <color rgb="FF1155CC"/>
        <u/>
      </rPr>
      <t>https://cms.patrika.com/blog/location/budaun-news/feed/</t>
    </r>
  </si>
  <si>
    <t>Jalaun</t>
  </si>
  <si>
    <t>Sultanpur</t>
  </si>
  <si>
    <t>https://cms.patrika.com/blog/location/sultanpur-news/feed/</t>
  </si>
  <si>
    <t>https://www.patrika.com/sultanpur-news</t>
  </si>
  <si>
    <t>https://www.amarujala.com/rss/jalaun.xml</t>
  </si>
  <si>
    <t>Deoria</t>
  </si>
  <si>
    <t>https://cms.patrika.com/blog/location/deoria-news/feed/</t>
  </si>
  <si>
    <t>https://www.patrika.com/deoria-news</t>
  </si>
  <si>
    <t>Amar Ujala-Jaunpur</t>
  </si>
  <si>
    <t>https://www.amarujala.com/uttar-pradesh/jaunpur</t>
  </si>
  <si>
    <r>
      <rPr>
        <rFont val="&quot;Noto Sans Devanagari&quot;, sans-serif"/>
        <color rgb="FF1155CC"/>
        <u/>
      </rPr>
      <t>https://cms.patrika.com/blog/location/pilibhit-news/feed/</t>
    </r>
  </si>
  <si>
    <t>https://cms.patrika.com/blog/location/gorakhpur-news/feed/</t>
  </si>
  <si>
    <t>https://www.patrika.com/gorakhpur-news</t>
  </si>
  <si>
    <t>Jaunpur</t>
  </si>
  <si>
    <t>https://cms.patrika.com/blog/location/kushinagar-news/feed/</t>
  </si>
  <si>
    <t>https://www.amarujala.com/rss/jaunpur.xml</t>
  </si>
  <si>
    <t>https://www.patrika.com/kushinagar-news</t>
  </si>
  <si>
    <r>
      <rPr>
        <rFont val="&quot;Noto Sans Devanagari&quot;, sans-serif"/>
        <color rgb="FF1155CC"/>
        <u/>
      </rPr>
      <t>https://cms.patrika.com/blog/location/shahjahanpur-news/feed/</t>
    </r>
  </si>
  <si>
    <t>Mahrajganj</t>
  </si>
  <si>
    <t>https://cms.patrika.com/blog/location/mahrajganj-news/feed/</t>
  </si>
  <si>
    <t>Amar Ujala-Jhansi</t>
  </si>
  <si>
    <t>https://www.amarujala.com/uttar-pradesh/jhansi</t>
  </si>
  <si>
    <t>https://www.patrika.com/mahrajganj-news</t>
  </si>
  <si>
    <t>Jhansi</t>
  </si>
  <si>
    <t>https://cms.patrika.com/blog/location/jalaun-news/feed/</t>
  </si>
  <si>
    <t>https://www.patrika.com/jalaun-news</t>
  </si>
  <si>
    <t>https://www.amarujala.com/rss/jhansi.xml</t>
  </si>
  <si>
    <r>
      <rPr>
        <rFont val="&quot;Noto Sans Devanagari&quot;, sans-serif"/>
        <color rgb="FF1155CC"/>
        <u/>
      </rPr>
      <t>https://cms.patrika.com/blog/location/basti-news/feed/</t>
    </r>
  </si>
  <si>
    <t>Amar Ujala-Deoria</t>
  </si>
  <si>
    <t>https://www.amarujala.com/uttar-pradesh/deoria</t>
  </si>
  <si>
    <t>https://cms.patrika.com/blog/location/jhansi-news/feed/</t>
  </si>
  <si>
    <t>https://www.patrika.com/jhansi-news</t>
  </si>
  <si>
    <t>https://www.amarujala.com/rss/deoria.xml</t>
  </si>
  <si>
    <t>Lalitpur</t>
  </si>
  <si>
    <t>https://cms.patrika.com/blog/location/lalitpur-news/feed/</t>
  </si>
  <si>
    <t>https://www.patrika.com/lalitpur-news</t>
  </si>
  <si>
    <t>Amar Ujala-Pilibhit</t>
  </si>
  <si>
    <t>https://www.amarujala.com/uttar-pradesh/pilibhit</t>
  </si>
  <si>
    <r>
      <rPr>
        <rFont val="&quot;Noto Sans Devanagari&quot;, sans-serif"/>
        <color rgb="FF1155CC"/>
        <u/>
      </rPr>
      <t>https://cms.patrika.com/blog/location/sant-kabir-nagar-news/feed/</t>
    </r>
  </si>
  <si>
    <t>https://www.amarujala.com/rss/pilibhit.xml</t>
  </si>
  <si>
    <t>https://cms.patrika.com/blog/location/auraiya-news/feed/</t>
  </si>
  <si>
    <t>https://www.patrika.com/auraiya-news</t>
  </si>
  <si>
    <t>Amar Ujala-Pratapgarh</t>
  </si>
  <si>
    <t>https://www.amarujala.com/uttar-pradesh/pratapgarh</t>
  </si>
  <si>
    <t>Farrukhabad</t>
  </si>
  <si>
    <t>https://cms.patrika.com/blog/location/farrukhabad-news/feed/</t>
  </si>
  <si>
    <t>https://www.patrika.com/farrukhabad-news</t>
  </si>
  <si>
    <t>https://www.amarujala.com/rss/pratapgarh.xml</t>
  </si>
  <si>
    <r>
      <rPr>
        <rFont val="&quot;Noto Sans Devanagari&quot;, sans-serif"/>
        <color rgb="FF1155CC"/>
        <u/>
      </rPr>
      <t>https://cms.patrika.com/blog/location/sidharthnagar-news/feed/</t>
    </r>
  </si>
  <si>
    <t>Amar Ujala-Allahabad</t>
  </si>
  <si>
    <t>https://www.amarujala.com/uttar-pradesh/allahabad</t>
  </si>
  <si>
    <t>https://cms.patrika.com/blog/location/kannauj-news/feed/</t>
  </si>
  <si>
    <t>https://www.patrika.com/kannauj-news</t>
  </si>
  <si>
    <t>Allahabad</t>
  </si>
  <si>
    <t>https://cms.patrika.com/blog/location/kanpur-news/feed/</t>
  </si>
  <si>
    <t>https://www.amarujala.com/rss/allahabad.xml</t>
  </si>
  <si>
    <t>https://www.patrika.com/kanpur-news</t>
  </si>
  <si>
    <r>
      <rPr>
        <rFont val="&quot;Noto Sans Devanagari&quot;, sans-serif"/>
        <color rgb="FF1155CC"/>
        <u/>
      </rPr>
      <t>https://cms.patrika.com/blog/location/banda-news/feed/</t>
    </r>
  </si>
  <si>
    <t>Amar Ujala-Fatehpur</t>
  </si>
  <si>
    <t>https://www.amarujala.com/uttar-pradesh/fatehpur</t>
  </si>
  <si>
    <t>Hardoi</t>
  </si>
  <si>
    <t>https://cms.patrika.com/blog/location/hardoi-news/feed/</t>
  </si>
  <si>
    <t>https://www.patrika.com/hardoi-news</t>
  </si>
  <si>
    <t>Lakhimpur Kheri</t>
  </si>
  <si>
    <t>https://cms.patrika.com/blog/location/lakhimpur-kheri-news/feed/</t>
  </si>
  <si>
    <t>https://www.patrika.com/lakhimpur-kheri-news</t>
  </si>
  <si>
    <t>https://www.amarujala.com/rss/fatehpur.xml</t>
  </si>
  <si>
    <r>
      <rPr>
        <rFont val="&quot;Noto Sans Devanagari&quot;, sans-serif"/>
        <color rgb="FF1155CC"/>
        <u/>
      </rPr>
      <t>https://cms.patrika.com/blog/location/chitrakoot-news/feed/</t>
    </r>
  </si>
  <si>
    <t>Amar Ujala-Farrukhabad</t>
  </si>
  <si>
    <t>https://www.amarujala.com/uttar-pradesh/farrukhabad</t>
  </si>
  <si>
    <t>https://cms.patrika.com/blog/location/lucknow-news/feed/</t>
  </si>
  <si>
    <t>https://www.patrika.com/lucknow-news</t>
  </si>
  <si>
    <t>https://www.amarujala.com/rss/farrukhabad.xml</t>
  </si>
  <si>
    <t>Raebareli</t>
  </si>
  <si>
    <t>https://cms.patrika.com/blog/location/raebareli-news/feed/</t>
  </si>
  <si>
    <t>https://www.patrika.com/raebareli-news</t>
  </si>
  <si>
    <t>Amar Ujala-Firozabad</t>
  </si>
  <si>
    <t>https://www.amarujala.com/uttar-pradesh/firozabad</t>
  </si>
  <si>
    <r>
      <rPr>
        <rFont val="&quot;Noto Sans Devanagari&quot;, sans-serif"/>
        <color rgb="FF1155CC"/>
        <u/>
      </rPr>
      <t>https://cms.patrika.com/blog/location/hamirpur-news/feed/</t>
    </r>
  </si>
  <si>
    <t>Sitapur</t>
  </si>
  <si>
    <t>https://cms.patrika.com/blog/location/sitapur-news/feed/</t>
  </si>
  <si>
    <t>https://www.patrika.com/sitapur-news</t>
  </si>
  <si>
    <t>https://www.amarujala.com/rss/firozabad.xml</t>
  </si>
  <si>
    <t>Amar Ujala-Budaun</t>
  </si>
  <si>
    <t>https://cms.patrika.com/blog/location/unnao-news/feed/</t>
  </si>
  <si>
    <t>https://www.amarujala.com/uttar-pradesh/budaun</t>
  </si>
  <si>
    <t>https://www.patrika.com/unnao-news</t>
  </si>
  <si>
    <r>
      <rPr>
        <rFont val="&quot;Noto Sans Devanagari&quot;, sans-serif"/>
        <color rgb="FF1155CC"/>
        <u/>
      </rPr>
      <t>https://cms.patrika.com/blog/location/mahoba-news/feed/</t>
    </r>
  </si>
  <si>
    <t>https://www.amarujala.com/rss/budaun.xml</t>
  </si>
  <si>
    <t>Bagpat</t>
  </si>
  <si>
    <t>https://cms.patrika.com/blog/location/bagpat-news/feed/</t>
  </si>
  <si>
    <t>https://www.patrika.com/bagpat-news</t>
  </si>
  <si>
    <t>Amar Ujala-Bareilly</t>
  </si>
  <si>
    <t>https://www.amarujala.com/uttar-pradesh/bareilly</t>
  </si>
  <si>
    <t>Bulandshahr</t>
  </si>
  <si>
    <t>https://cms.patrika.com/blog/location/bulandshahr-news/feed/</t>
  </si>
  <si>
    <t>https://www.patrika.com/bulandshahr-news</t>
  </si>
  <si>
    <t>https://www.amarujala.com/rss/bareilly.xml</t>
  </si>
  <si>
    <r>
      <rPr>
        <rFont val="&quot;Noto Sans Devanagari&quot;, sans-serif"/>
        <color rgb="FF1155CC"/>
        <u/>
      </rPr>
      <t>https://cms.patrika.com/blog/location/bahraich-news/feed/</t>
    </r>
  </si>
  <si>
    <t>Amar Ujala-Balrampur</t>
  </si>
  <si>
    <t>https://www.amarujala.com/uttar-pradesh/balrampur</t>
  </si>
  <si>
    <t>Greater Noida</t>
  </si>
  <si>
    <t>https://cms.patrika.com/blog/location/greater-noida-news/feed/</t>
  </si>
  <si>
    <t>https://www.patrika.com/greater-noida-news</t>
  </si>
  <si>
    <t>https://www.amarujala.com/rss/balrampur.xml</t>
  </si>
  <si>
    <t>Noida</t>
  </si>
  <si>
    <t>https://cms.patrika.com/blog/location/noida-news/feed/</t>
  </si>
  <si>
    <t>https://www.patrika.com/noida-news</t>
  </si>
  <si>
    <t>Amar Ujala-Ballia</t>
  </si>
  <si>
    <t>https://www.amarujala.com/uttar-pradesh/ballia</t>
  </si>
  <si>
    <r>
      <rPr>
        <rFont val="&quot;Noto Sans Devanagari&quot;, sans-serif"/>
        <color rgb="FF1155CC"/>
        <u/>
      </rPr>
      <t>https://cms.patrika.com/blog/location/balrampur-up-news/feed/</t>
    </r>
  </si>
  <si>
    <t>https://www.amarujala.com/rss/ballia.xml</t>
  </si>
  <si>
    <t>Ghaziabad</t>
  </si>
  <si>
    <t>https://cms.patrika.com/blog/location/ghaziabad-news/feed/</t>
  </si>
  <si>
    <t>https://www.patrika.com/ghaziabad-news</t>
  </si>
  <si>
    <t>Amar Ujala-Basti</t>
  </si>
  <si>
    <t>https://www.amarujala.com/uttar-pradesh/basti</t>
  </si>
  <si>
    <t>https://cms.patrika.com/blog/location/ghazipur-news/feed/</t>
  </si>
  <si>
    <t>https://www.patrika.com/ghazipur-news</t>
  </si>
  <si>
    <t>https://www.amarujala.com/rss/basti.xml</t>
  </si>
  <si>
    <r>
      <rPr>
        <rFont val="&quot;Noto Sans Devanagari&quot;, sans-serif"/>
        <color rgb="FF1155CC"/>
        <u/>
      </rPr>
      <t>https://cms.patrika.com/blog/location/gonda-news/feed/</t>
    </r>
  </si>
  <si>
    <t>Amar Ujala-Bahraich</t>
  </si>
  <si>
    <t>https://www.amarujala.com/uttar-pradesh/bahraich</t>
  </si>
  <si>
    <t>Hapur</t>
  </si>
  <si>
    <t>https://cms.patrika.com/blog/location/hapur-news/feed/</t>
  </si>
  <si>
    <t>https://www.patrika.com/hapur-news</t>
  </si>
  <si>
    <t>https://www.amarujala.com/rss/bahraich.xml</t>
  </si>
  <si>
    <t>Meerut</t>
  </si>
  <si>
    <t>https://cms.patrika.com/blog/location/meerut-news/feed/</t>
  </si>
  <si>
    <t>https://www.patrika.com/meerut-news</t>
  </si>
  <si>
    <r>
      <rPr>
        <rFont val="&quot;Noto Sans Devanagari&quot;, sans-serif"/>
        <color rgb="FF1155CC"/>
        <u/>
      </rPr>
      <t>https://cms.patrika.com/blog/location/shravasti-news/feed/</t>
    </r>
  </si>
  <si>
    <t>Amar Ujala-Banda</t>
  </si>
  <si>
    <t>https://www.amarujala.com/uttar-pradesh/banda</t>
  </si>
  <si>
    <t>Bhadohi</t>
  </si>
  <si>
    <t>https://cms.patrika.com/blog/location/bhadohi-news/feed/</t>
  </si>
  <si>
    <t>https://www.patrika.com/bhadohi-news</t>
  </si>
  <si>
    <t>https://www.amarujala.com/rss/banda.xml</t>
  </si>
  <si>
    <t>Mirzapur</t>
  </si>
  <si>
    <t>https://cms.patrika.com/blog/location/mirzapur-news/feed/</t>
  </si>
  <si>
    <t>https://www.patrika.com/mirzapur-news</t>
  </si>
  <si>
    <t>Amar Ujala-Baghpat</t>
  </si>
  <si>
    <t>https://www.amarujala.com/uttar-pradesh/baghpat</t>
  </si>
  <si>
    <r>
      <rPr>
        <rFont val="&quot;Noto Sans Devanagari&quot;, sans-serif"/>
        <color rgb="FF1155CC"/>
        <u/>
      </rPr>
      <t>https://cms.patrika.com/blog/location/ambedkar-nagar-news/feed/</t>
    </r>
  </si>
  <si>
    <t>Baghpat</t>
  </si>
  <si>
    <t>Sonbhadra</t>
  </si>
  <si>
    <t>https://cms.patrika.com/blog/location/sonbhadra-news/feed/</t>
  </si>
  <si>
    <t>https://www.patrika.com/sonbhadra-news</t>
  </si>
  <si>
    <t>https://www.amarujala.com/rss/baghpat.xml</t>
  </si>
  <si>
    <t>https://cms.patrika.com/blog/location/amroha-news/feed/</t>
  </si>
  <si>
    <t>https://www.patrika.com/amroha-news</t>
  </si>
  <si>
    <r>
      <rPr>
        <rFont val="&quot;Noto Sans Devanagari&quot;, sans-serif"/>
        <color rgb="FF1155CC"/>
        <u/>
      </rPr>
      <t>https://cms.patrika.com/blog/location/amethi-news/feed/</t>
    </r>
  </si>
  <si>
    <t>Bijnor</t>
  </si>
  <si>
    <t>https://cms.patrika.com/blog/location/bijnor-news/feed/</t>
  </si>
  <si>
    <t>https://www.patrika.com/bijnor-news</t>
  </si>
  <si>
    <t>Amar Ujala-Barabanki</t>
  </si>
  <si>
    <t>https://www.amarujala.com/uttar-pradesh/barabanki</t>
  </si>
  <si>
    <t>Moradabad</t>
  </si>
  <si>
    <t>https://cms.patrika.com/blog/location/moradabad-news/feed/</t>
  </si>
  <si>
    <t>https://www.patrika.com/moradabad-news</t>
  </si>
  <si>
    <t>https://www.amarujala.com/rss/barabanki.xml</t>
  </si>
  <si>
    <r>
      <rPr>
        <rFont val="&quot;Noto Sans Devanagari&quot;, sans-serif"/>
        <color rgb="FF1155CC"/>
        <u/>
      </rPr>
      <t>https://cms.patrika.com/blog/location/ayodhya-news/feed/</t>
    </r>
  </si>
  <si>
    <t>Amar Ujala-Bijnor</t>
  </si>
  <si>
    <t>https://www.amarujala.com/uttar-pradesh/bijnor</t>
  </si>
  <si>
    <t>Rampur</t>
  </si>
  <si>
    <t>https://cms.patrika.com/blog/location/rampur-news/feed/</t>
  </si>
  <si>
    <t>https://www.patrika.com/rampur-news</t>
  </si>
  <si>
    <t>https://www.amarujala.com/rss/bijnor.xml</t>
  </si>
  <si>
    <t>Sambhal</t>
  </si>
  <si>
    <t>https://cms.patrika.com/blog/location/sambhal-news/feed/</t>
  </si>
  <si>
    <t>https://www.patrika.com/sambhal-news</t>
  </si>
  <si>
    <t>Amar Ujala-Bulandshahr</t>
  </si>
  <si>
    <t>https://www.amarujala.com/uttar-pradesh/bulandshahr</t>
  </si>
  <si>
    <r>
      <rPr>
        <rFont val="&quot;Noto Sans Devanagari&quot;, sans-serif"/>
        <color rgb="FF1155CC"/>
        <u/>
      </rPr>
      <t>https://cms.patrika.com/blog/location/barabanki-news/feed/</t>
    </r>
  </si>
  <si>
    <t>Muzaffarnagar</t>
  </si>
  <si>
    <t>https://www.amarujala.com/rss/bulandshahr.xml</t>
  </si>
  <si>
    <t>https://cms.patrika.com/blog/location/muzaffarnagar-news/feed/</t>
  </si>
  <si>
    <t>https://www.patrika.com/muzaffarnagar-news</t>
  </si>
  <si>
    <t>Amar Ujala-Bhadohi</t>
  </si>
  <si>
    <t>https://www.amarujala.com/uttar-pradesh/bhadohi</t>
  </si>
  <si>
    <t>Saharanpur</t>
  </si>
  <si>
    <t>https://cms.patrika.com/blog/location/saharanpur-news/feed/</t>
  </si>
  <si>
    <t>https://www.patrika.com/saharanpur-news</t>
  </si>
  <si>
    <t>https://www.amarujala.com/rss/bhadohi.xml</t>
  </si>
  <si>
    <r>
      <rPr>
        <rFont val="&quot;Noto Sans Devanagari&quot;, sans-serif"/>
        <color rgb="FF1155CC"/>
        <u/>
      </rPr>
      <t>https://cms.patrika.com/blog/location/faizabad-news/feed/</t>
    </r>
  </si>
  <si>
    <t>Amar Ujala-Mau</t>
  </si>
  <si>
    <t>https://www.amarujala.com/uttar-pradesh/mau</t>
  </si>
  <si>
    <t>Shamli</t>
  </si>
  <si>
    <t>https://cms.patrika.com/blog/location/shamli-news/feed/</t>
  </si>
  <si>
    <t>https://www.patrika.com/shamli-news</t>
  </si>
  <si>
    <t>https://www.amarujala.com/rss/mau.xml</t>
  </si>
  <si>
    <t>https://cms.patrika.com/blog/location/chandauli-news/feed/</t>
  </si>
  <si>
    <t>https://www.patrika.com/chandauli-news</t>
  </si>
  <si>
    <t>Amar Ujala-Mathura</t>
  </si>
  <si>
    <t>https://www.amarujala.com/uttar-pradesh/mathura</t>
  </si>
  <si>
    <r>
      <rPr>
        <rFont val="&quot;Noto Sans Devanagari&quot;, sans-serif"/>
        <color rgb="FF1155CC"/>
        <u/>
      </rPr>
      <t>https://cms.patrika.com/blog/location/sultanpur-news/feed/</t>
    </r>
  </si>
  <si>
    <t>https://www.amarujala.com/rss/mathura.xml</t>
  </si>
  <si>
    <t>https://cms.patrika.com/blog/location/jaunpur-news/feed/</t>
  </si>
  <si>
    <t>https://www.patrika.com/jaunpur-news</t>
  </si>
  <si>
    <t>Amar Ujala-Maharajganj</t>
  </si>
  <si>
    <t>https://www.amarujala.com/uttar-pradesh/maharajganj</t>
  </si>
  <si>
    <t>Varanasi</t>
  </si>
  <si>
    <t>https://cms.patrika.com/blog/location/varanasi-news/feed/</t>
  </si>
  <si>
    <t>Maharajganj</t>
  </si>
  <si>
    <t>https://www.patrika.com/varanasi-news</t>
  </si>
  <si>
    <t>https://www.amarujala.com/rss/maharajganj.xml</t>
  </si>
  <si>
    <r>
      <rPr>
        <rFont val="&quot;Noto Sans Devanagari&quot;, sans-serif"/>
        <color rgb="FF1155CC"/>
        <u/>
      </rPr>
      <t>https://cms.patrika.com/blog/location/deoria-news/feed/</t>
    </r>
  </si>
  <si>
    <t>Amar Ujala-Mahoba</t>
  </si>
  <si>
    <t>https://www.amarujala.com/uttar-pradesh/mahoba</t>
  </si>
  <si>
    <r>
      <rPr>
        <rFont val="&quot;Noto Sans Devanagari&quot;, sans-serif"/>
        <color rgb="FF1155CC"/>
        <u/>
      </rPr>
      <t>https://cms.patrika.com/blog/location/gorakhpur-news/feed/</t>
    </r>
  </si>
  <si>
    <t>https://www.amarujala.com/rss/mahoba.xml</t>
  </si>
  <si>
    <r>
      <rPr>
        <rFont val="&quot;Noto Sans Devanagari&quot;, sans-serif"/>
        <color rgb="FF1155CC"/>
        <u/>
      </rPr>
      <t>https://cms.patrika.com/blog/location/kushinagar-news/feed/</t>
    </r>
  </si>
  <si>
    <t>Amar Ujala-Mirzapur</t>
  </si>
  <si>
    <t>https://www.amarujala.com/uttar-pradesh/mirzapur</t>
  </si>
  <si>
    <r>
      <rPr>
        <rFont val="&quot;Noto Sans Devanagari&quot;, sans-serif"/>
        <color rgb="FF1155CC"/>
        <u/>
      </rPr>
      <t>https://cms.patrika.com/blog/location/mahrajganj-news/feed/</t>
    </r>
  </si>
  <si>
    <t>https://www.amarujala.com/rss/mirzapur.xml</t>
  </si>
  <si>
    <r>
      <rPr>
        <rFont val="&quot;Noto Sans Devanagari&quot;, sans-serif"/>
        <color rgb="FF1155CC"/>
        <u/>
      </rPr>
      <t>https://cms.patrika.com/blog/location/jalaun-news/feed/</t>
    </r>
  </si>
  <si>
    <t>Amar Ujala-Muzaffarnagar</t>
  </si>
  <si>
    <t>https://www.amarujala.com/uttar-pradesh/muzaffarnagar</t>
  </si>
  <si>
    <r>
      <rPr>
        <rFont val="&quot;Noto Sans Devanagari&quot;, sans-serif"/>
        <color rgb="FF1155CC"/>
        <u/>
      </rPr>
      <t>https://cms.patrika.com/blog/location/jhansi-news/feed/</t>
    </r>
  </si>
  <si>
    <t>https://www.amarujala.com/rss/muzaffarnagar.xml</t>
  </si>
  <si>
    <r>
      <rPr>
        <rFont val="&quot;Noto Sans Devanagari&quot;, sans-serif"/>
        <color rgb="FF1155CC"/>
        <u/>
      </rPr>
      <t>https://cms.patrika.com/blog/location/lalitpur-news/feed/</t>
    </r>
  </si>
  <si>
    <t>Amar Ujala-Moradabad</t>
  </si>
  <si>
    <t>https://www.amarujala.com/uttar-pradesh/moradabad</t>
  </si>
  <si>
    <r>
      <rPr>
        <rFont val="&quot;Noto Sans Devanagari&quot;, sans-serif"/>
        <color rgb="FF1155CC"/>
        <u/>
      </rPr>
      <t>https://cms.patrika.com/blog/location/auraiya-news/feed/</t>
    </r>
  </si>
  <si>
    <t>https://www.amarujala.com/rss/moradabad.xml</t>
  </si>
  <si>
    <r>
      <rPr>
        <rFont val="&quot;Noto Sans Devanagari&quot;, sans-serif"/>
        <color rgb="FF1155CC"/>
        <u/>
      </rPr>
      <t>https://cms.patrika.com/blog/location/farrukhabad-news/feed/</t>
    </r>
  </si>
  <si>
    <t>Amar Ujala-Meerut</t>
  </si>
  <si>
    <t>https://www.amarujala.com/uttar-pradesh/meerut</t>
  </si>
  <si>
    <r>
      <rPr>
        <rFont val="&quot;Noto Sans Devanagari&quot;, sans-serif"/>
        <color rgb="FF1155CC"/>
        <u/>
      </rPr>
      <t>https://cms.patrika.com/blog/location/kannauj-news/feed/</t>
    </r>
  </si>
  <si>
    <t>https://www.amarujala.com/rss/meerut.xml</t>
  </si>
  <si>
    <r>
      <rPr>
        <rFont val="&quot;Noto Sans Devanagari&quot;, sans-serif"/>
        <color rgb="FF1155CC"/>
        <u/>
      </rPr>
      <t>https://cms.patrika.com/blog/location/kanpur-news/feed/</t>
    </r>
  </si>
  <si>
    <t>Amar Ujala-Mainpuri</t>
  </si>
  <si>
    <t>https://www.amarujala.com/uttar-pradesh/mainpuri</t>
  </si>
  <si>
    <r>
      <rPr>
        <rFont val="&quot;Noto Sans Devanagari&quot;, sans-serif"/>
        <color rgb="FF1155CC"/>
        <u/>
      </rPr>
      <t>https://cms.patrika.com/blog/location/hardoi-news/feed/</t>
    </r>
  </si>
  <si>
    <t>https://www.amarujala.com/rss/mainpuri.xml</t>
  </si>
  <si>
    <t>Amar Ujala-Rampur</t>
  </si>
  <si>
    <t>https://www.amarujala.com/uttar-pradesh/rampur</t>
  </si>
  <si>
    <r>
      <rPr>
        <rFont val="&quot;Noto Sans Devanagari&quot;, sans-serif"/>
        <color rgb="FF1155CC"/>
        <u/>
      </rPr>
      <t>https://cms.patrika.com/blog/location/lakhimpur-kheri-news/feed/</t>
    </r>
  </si>
  <si>
    <r>
      <rPr>
        <rFont val="&quot;Noto Sans Devanagari&quot;, sans-serif"/>
        <color rgb="FF1155CC"/>
        <u/>
      </rPr>
      <t>https://cms.patrika.com/blog/location/lucknow-news/feed/</t>
    </r>
  </si>
  <si>
    <t>https://www.amarujala.com/rss/rampur.xml</t>
  </si>
  <si>
    <t>Amar Ujala-Raebareli</t>
  </si>
  <si>
    <t>https://www.amarujala.com/uttar-pradesh/raebareli</t>
  </si>
  <si>
    <r>
      <rPr>
        <rFont val="&quot;Noto Sans Devanagari&quot;, sans-serif"/>
        <color rgb="FF1155CC"/>
        <u/>
      </rPr>
      <t>https://cms.patrika.com/blog/location/raebareli-news/feed/</t>
    </r>
  </si>
  <si>
    <t>https://www.amarujala.com/rss/raebareli.xml</t>
  </si>
  <si>
    <r>
      <rPr>
        <rFont val="&quot;Noto Sans Devanagari&quot;, sans-serif"/>
        <color rgb="FF1155CC"/>
        <u/>
      </rPr>
      <t>https://cms.patrika.com/blog/location/sitapur-news/feed/</t>
    </r>
  </si>
  <si>
    <t>Amar Ujala-Lakhimpur Kheri</t>
  </si>
  <si>
    <t>https://www.amarujala.com/uttar-pradesh/lakhimpur-kheri</t>
  </si>
  <si>
    <r>
      <rPr>
        <rFont val="&quot;Noto Sans Devanagari&quot;, sans-serif"/>
        <color rgb="FF1155CC"/>
        <u/>
      </rPr>
      <t>https://cms.patrika.com/blog/location/unnao-news/feed/</t>
    </r>
  </si>
  <si>
    <r>
      <rPr>
        <rFont val="&quot;Noto Sans Devanagari&quot;, sans-serif"/>
        <color rgb="FF1155CC"/>
        <u/>
      </rPr>
      <t>https://cms.patrika.com/blog/location/bagpat-news/feed/</t>
    </r>
  </si>
  <si>
    <t>https://www.amarujala.com/rss/lakhimpur-kheri.xml</t>
  </si>
  <si>
    <r>
      <rPr>
        <rFont val="&quot;Noto Sans Devanagari&quot;, sans-serif"/>
        <color rgb="FF1155CC"/>
        <u/>
      </rPr>
      <t>https://cms.patrika.com/blog/location/bulandshahr-news/feed/</t>
    </r>
  </si>
  <si>
    <t>Amar Ujala-Lalitpur</t>
  </si>
  <si>
    <t>https://www.amarujala.com/uttar-pradesh/lalitpur</t>
  </si>
  <si>
    <r>
      <rPr>
        <rFont val="&quot;Noto Sans Devanagari&quot;, sans-serif"/>
        <color rgb="FF1155CC"/>
        <u/>
      </rPr>
      <t>https://cms.patrika.com/blog/location/greater-noida-news/feed/</t>
    </r>
  </si>
  <si>
    <r>
      <rPr>
        <rFont val="&quot;Noto Sans Devanagari&quot;, sans-serif"/>
        <color rgb="FF1155CC"/>
        <u/>
      </rPr>
      <t>https://cms.patrika.com/blog/location/noida-news/feed/</t>
    </r>
  </si>
  <si>
    <t>https://www.amarujala.com/rss/lalitpur.xml</t>
  </si>
  <si>
    <t>Amar Ujala-Varanasi</t>
  </si>
  <si>
    <t>https://www.amarujala.com/uttar-pradesh/varanasi</t>
  </si>
  <si>
    <r>
      <rPr>
        <rFont val="&quot;Noto Sans Devanagari&quot;, sans-serif"/>
        <color rgb="FF1155CC"/>
        <u/>
      </rPr>
      <t>https://cms.patrika.com/blog/location/ghaziabad-news/feed/</t>
    </r>
  </si>
  <si>
    <t>https://www.amarujala.com/rss/varanasi.xml</t>
  </si>
  <si>
    <r>
      <rPr>
        <rFont val="&quot;Noto Sans Devanagari&quot;, sans-serif"/>
        <color rgb="FF1155CC"/>
        <u/>
      </rPr>
      <t>https://cms.patrika.com/blog/location/ghazipur-news/feed/</t>
    </r>
  </si>
  <si>
    <t>Amar Ujala-Shamli</t>
  </si>
  <si>
    <t>https://www.amarujala.com/uttar-pradesh/shamli</t>
  </si>
  <si>
    <t>https://www.amarujala.com/rss/shamli.xml</t>
  </si>
  <si>
    <r>
      <rPr>
        <rFont val="&quot;Noto Sans Devanagari&quot;, sans-serif"/>
        <color rgb="FF1155CC"/>
        <u/>
      </rPr>
      <t>https://cms.patrika.com/blog/location/hapur-news/feed/</t>
    </r>
  </si>
  <si>
    <t>Amar Ujala-Shahjahanpur</t>
  </si>
  <si>
    <t>https://www.amarujala.com/uttar-pradesh/shahjahanpur</t>
  </si>
  <si>
    <r>
      <rPr>
        <rFont val="&quot;Noto Sans Devanagari&quot;, sans-serif"/>
        <color rgb="FF1155CC"/>
        <u/>
      </rPr>
      <t>https://cms.patrika.com/blog/location/meerut-news/feed/</t>
    </r>
  </si>
  <si>
    <t>https://www.amarujala.com/rss/shahjahanpur.xml</t>
  </si>
  <si>
    <r>
      <rPr>
        <rFont val="&quot;Noto Sans Devanagari&quot;, sans-serif"/>
        <color rgb="FF1155CC"/>
        <u/>
      </rPr>
      <t>https://cms.patrika.com/blog/location/bhadohi-news/feed/</t>
    </r>
  </si>
  <si>
    <t>Amar Ujala-Shravasti</t>
  </si>
  <si>
    <t>https://www.amarujala.com/uttar-pradesh/shravasti</t>
  </si>
  <si>
    <r>
      <rPr>
        <rFont val="&quot;Noto Sans Devanagari&quot;, sans-serif"/>
        <color rgb="FF1155CC"/>
        <u/>
      </rPr>
      <t>https://cms.patrika.com/blog/location/mirzapur-news/feed/</t>
    </r>
  </si>
  <si>
    <t>https://www.amarujala.com/rss/shravasti.xml</t>
  </si>
  <si>
    <t>Amar Ujala-Sant Kabir Nagar</t>
  </si>
  <si>
    <t>https://www.amarujala.com/uttar-pradesh/sant-kabir-nagar</t>
  </si>
  <si>
    <r>
      <rPr>
        <rFont val="&quot;Noto Sans Devanagari&quot;, sans-serif"/>
        <color rgb="FF1155CC"/>
        <u/>
      </rPr>
      <t>https://cms.patrika.com/blog/location/sonbhadra-news/feed/</t>
    </r>
  </si>
  <si>
    <t>https://www.amarujala.com/rss/sant-kabir-nagar.xml</t>
  </si>
  <si>
    <r>
      <rPr>
        <rFont val="&quot;Noto Sans Devanagari&quot;, sans-serif"/>
        <color rgb="FF1155CC"/>
        <u/>
      </rPr>
      <t>https://cms.patrika.com/blog/location/amroha-news/feed/</t>
    </r>
  </si>
  <si>
    <t>Amar Ujala-Sambhal</t>
  </si>
  <si>
    <t>https://www.amarujala.com/uttar-pradesh/sambhal</t>
  </si>
  <si>
    <r>
      <rPr>
        <rFont val="&quot;Noto Sans Devanagari&quot;, sans-serif"/>
        <color rgb="FF1155CC"/>
        <u/>
      </rPr>
      <t>https://cms.patrika.com/blog/location/bijnor-news/feed/</t>
    </r>
  </si>
  <si>
    <t>https://www.amarujala.com/rss/sambhal.xml</t>
  </si>
  <si>
    <t>Amar Ujala-Saharanpur</t>
  </si>
  <si>
    <t>https://www.amarujala.com/uttar-pradesh/saharanpur</t>
  </si>
  <si>
    <r>
      <rPr>
        <rFont val="&quot;Noto Sans Devanagari&quot;, sans-serif"/>
        <color rgb="FF1155CC"/>
        <u/>
      </rPr>
      <t>https://cms.patrika.com/blog/location/moradabad-news/feed/</t>
    </r>
  </si>
  <si>
    <t>https://www.amarujala.com/rss/saharanpur.xml</t>
  </si>
  <si>
    <t>Amar Ujala-Siddharthnagar</t>
  </si>
  <si>
    <t>https://www.amarujala.com/uttar-pradesh/siddharthnagar</t>
  </si>
  <si>
    <r>
      <rPr>
        <rFont val="&quot;Noto Sans Devanagari&quot;, sans-serif"/>
        <color rgb="FF1155CC"/>
        <u/>
      </rPr>
      <t>https://cms.patrika.com/blog/location/rampur-news/feed/</t>
    </r>
  </si>
  <si>
    <t>Siddharthnagar</t>
  </si>
  <si>
    <t>https://www.amarujala.com/rss/siddharthnagar.xml</t>
  </si>
  <si>
    <r>
      <rPr>
        <rFont val="&quot;Noto Sans Devanagari&quot;, sans-serif"/>
        <color rgb="FF1155CC"/>
        <u/>
      </rPr>
      <t>https://cms.patrika.com/blog/location/sambhal-news/feed/</t>
    </r>
  </si>
  <si>
    <t>Amar Ujala-Sitapur</t>
  </si>
  <si>
    <t>https://www.amarujala.com/uttar-pradesh/sitapur</t>
  </si>
  <si>
    <r>
      <rPr>
        <rFont val="&quot;Noto Sans Devanagari&quot;, sans-serif"/>
        <color rgb="FF1155CC"/>
        <u/>
      </rPr>
      <t>https://cms.patrika.com/blog/location/muzaffarnagar-news/feed/</t>
    </r>
  </si>
  <si>
    <t>https://www.amarujala.com/rss/sitapur.xml</t>
  </si>
  <si>
    <t>Amar Ujala-Sultanpur</t>
  </si>
  <si>
    <t>https://www.amarujala.com/uttar-pradesh/sultanpur</t>
  </si>
  <si>
    <r>
      <rPr>
        <rFont val="&quot;Noto Sans Devanagari&quot;, sans-serif"/>
        <color rgb="FF1155CC"/>
        <u/>
      </rPr>
      <t>https://cms.patrika.com/blog/location/saharanpur-news/feed/</t>
    </r>
  </si>
  <si>
    <t>https://www.amarujala.com/rss/sultanpur.xml</t>
  </si>
  <si>
    <t>Amar Ujala-Sonebhadra</t>
  </si>
  <si>
    <t>https://www.amarujala.com/uttar-pradesh/sonbhadra</t>
  </si>
  <si>
    <r>
      <rPr>
        <rFont val="&quot;Noto Sans Devanagari&quot;, sans-serif"/>
        <color rgb="FF1155CC"/>
        <u/>
      </rPr>
      <t>https://cms.patrika.com/blog/location/shamli-news/feed/</t>
    </r>
  </si>
  <si>
    <t>Sonebhadra</t>
  </si>
  <si>
    <t>https://www.amarujala.com/rss/sonebhadra.xml</t>
  </si>
  <si>
    <r>
      <rPr>
        <rFont val="&quot;Noto Sans Devanagari&quot;, sans-serif"/>
        <color rgb="FF1155CC"/>
        <u/>
      </rPr>
      <t>https://cms.patrika.com/blog/location/chandauli-news/feed/</t>
    </r>
  </si>
  <si>
    <t>Amar Ujala-Hamirpur</t>
  </si>
  <si>
    <t>https://www.amarujala.com/uttar-pradesh/hamirpur</t>
  </si>
  <si>
    <r>
      <rPr>
        <rFont val="&quot;Noto Sans Devanagari&quot;, sans-serif"/>
        <color rgb="FF1155CC"/>
        <u/>
      </rPr>
      <t>https://cms.patrika.com/blog/location/jaunpur-news/feed/</t>
    </r>
  </si>
  <si>
    <t>https://www.amarujala.com/rss/hamirpur.xml</t>
  </si>
  <si>
    <r>
      <rPr>
        <rFont val="&quot;Noto Sans Devanagari&quot;, sans-serif"/>
        <color rgb="FF1155CC"/>
        <u/>
      </rPr>
      <t>https://cms.patrika.com/blog/location/varanasi-news/feed/</t>
    </r>
  </si>
  <si>
    <t>Amar Ujala-Hardoi</t>
  </si>
  <si>
    <t>https://www.amarujala.com/uttar-pradesh/hardoi</t>
  </si>
  <si>
    <t>https://www.amarujala.com/rss/hardoi.xml</t>
  </si>
  <si>
    <t>Amar Ujala-Hathras</t>
  </si>
  <si>
    <t>https://www.amarujala.com/uttar-pradesh/hathras</t>
  </si>
  <si>
    <t>https://www.amarujala.com/rss/hathras.xml</t>
  </si>
  <si>
    <t>Amar Ujala- Ghaziabad</t>
  </si>
  <si>
    <t>https://www.amarujala.com/delhi-ncr/ghaziabad</t>
  </si>
  <si>
    <t>Daily</t>
  </si>
  <si>
    <t>https://www.amarujala.com/rss/ghaziabad.xml</t>
  </si>
  <si>
    <t>Live Hindustan</t>
  </si>
  <si>
    <t>https://www.livehindustan.com/uttar-pradesh</t>
  </si>
  <si>
    <t>https://feed.livehindustan.com/rss/5026</t>
  </si>
  <si>
    <t>Hindustan-Lucknow</t>
  </si>
  <si>
    <t>https://www.livehindustan.com/uttar-pradesh/lucknow/news</t>
  </si>
  <si>
    <t>https://feed.livehindustan.com/rss/5028</t>
  </si>
  <si>
    <t>Hindustan-Varanasi</t>
  </si>
  <si>
    <t>https://www.livehindustan.com/uttar-pradesh/varanasi/news</t>
  </si>
  <si>
    <t>https://feed.livehindustan.com/rss/5029</t>
  </si>
  <si>
    <t>Hindustan-Bareilly</t>
  </si>
  <si>
    <t>https://www.livehindustan.com/uttar-pradesh/bareilly/news</t>
  </si>
  <si>
    <t>https://feed.livehindustan.com/rss/5032</t>
  </si>
  <si>
    <t>Hindustan-Moradabad</t>
  </si>
  <si>
    <t>https://www.livehindustan.com/uttar-pradesh/moradabad/news</t>
  </si>
  <si>
    <t>https://feed.livehindustan.com/rss/5036</t>
  </si>
  <si>
    <t>Hindustan-Meerut</t>
  </si>
  <si>
    <t>https://www.livehindustan.com/uttar-pradesh/meerut/news</t>
  </si>
  <si>
    <t>https://feed.livehindustan.com/rss/5031</t>
  </si>
  <si>
    <t>Hindustan-Agra</t>
  </si>
  <si>
    <t>https://www.livehindustan.com/uttar-pradesh/agra/news</t>
  </si>
  <si>
    <t>https://feed.livehindustan.com/rss/5033</t>
  </si>
  <si>
    <t>Hindustan-Aligarh</t>
  </si>
  <si>
    <t>https://www.livehindustan.com/uttar-pradesh/aligarh/news</t>
  </si>
  <si>
    <t>https://feed.livehindustan.com/rss/5035</t>
  </si>
  <si>
    <t>Hindustan-Prayagraj</t>
  </si>
  <si>
    <t>https://www.livehindustan.com/uttar-pradesh/prayagraj/news</t>
  </si>
  <si>
    <t>https://feed.livehindustan.com/rss/11373</t>
  </si>
  <si>
    <t>Hindustan-Gorakhpur</t>
  </si>
  <si>
    <t>https://www.livehindustan.com/uttar-pradesh/gorakhpur/news</t>
  </si>
  <si>
    <t>https://feed.livehindustan.com/rss/5030</t>
  </si>
  <si>
    <t>Hindustan-Kanpur</t>
  </si>
  <si>
    <t>https://www.livehindustan.com/uttar-pradesh/kanpur/news</t>
  </si>
  <si>
    <t>https://feed.livehindustan.com/rss/5034</t>
  </si>
  <si>
    <t>Hindustan-Barabanki</t>
  </si>
  <si>
    <t>https://www.livehindustan.com/uttar-pradesh/barabanki/news</t>
  </si>
  <si>
    <t>https://feed.livehindustan.com/rss/1348440</t>
  </si>
  <si>
    <t>Hindustan-Azamgarh</t>
  </si>
  <si>
    <t>https://www.livehindustan.com/uttar-pradesh/azamgarh/news</t>
  </si>
  <si>
    <t>https://feed.livehindustan.com/rss/5037</t>
  </si>
  <si>
    <t>Hindustan-Ballia</t>
  </si>
  <si>
    <t>https://www.livehindustan.com/uttar-pradesh/balia/news</t>
  </si>
  <si>
    <t>https://feed.livehindustan.com/rss/5038</t>
  </si>
  <si>
    <t>Hindustan-Bhadohi</t>
  </si>
  <si>
    <t>https://www.livehindustan.com/uttar-pradesh/bhadohi/news</t>
  </si>
  <si>
    <t>https://feed.livehindustan.com/rss/5039</t>
  </si>
  <si>
    <t>Hindustan-Chandauli</t>
  </si>
  <si>
    <t>https://www.livehindustan.com/uttar-pradesh/chandauli/news</t>
  </si>
  <si>
    <t>https://feed.livehindustan.com/rss/5040</t>
  </si>
  <si>
    <t>Hindustan-Ghazipur</t>
  </si>
  <si>
    <t>https://www.livehindustan.com/uttar-pradesh/ghazipur/news</t>
  </si>
  <si>
    <t>https://feed.livehindustan.com/rss/5041</t>
  </si>
  <si>
    <t>Hindustan-Jaunpur</t>
  </si>
  <si>
    <t>https://www.livehindustan.com/uttar-pradesh/jaunpur/news</t>
  </si>
  <si>
    <t>https://feed.livehindustan.com/rss/5042</t>
  </si>
  <si>
    <t>Hindustan-Mau</t>
  </si>
  <si>
    <t>https://www.livehindustan.com/uttar-pradesh/mau/news</t>
  </si>
  <si>
    <t>https://feed.livehindustan.com/rss/5043</t>
  </si>
  <si>
    <t>Hindustan-Mirzapur</t>
  </si>
  <si>
    <t>https://www.livehindustan.com/uttar-pradesh/mirzapur/news</t>
  </si>
  <si>
    <t>https://feed.livehindustan.com/rss/5044</t>
  </si>
  <si>
    <t>Hindustan-Sonbhadra</t>
  </si>
  <si>
    <t>https://www.livehindustan.com/uttar-pradesh/sonbhadra/news</t>
  </si>
  <si>
    <t>https://feed.livehindustan.com/rss/5045</t>
  </si>
  <si>
    <t>Hindustan-Basti</t>
  </si>
  <si>
    <t>https://www.livehindustan.com/uttar-pradesh/basti/news</t>
  </si>
  <si>
    <t>https://feed.livehindustan.com/rss/5046</t>
  </si>
  <si>
    <t>Hindustan-Kushinagar</t>
  </si>
  <si>
    <t>https://www.livehindustan.com/uttar-pradesh/kushinagar/news</t>
  </si>
  <si>
    <t>https://feed.livehindustan.com/rss/1237903</t>
  </si>
  <si>
    <t>Hindustan-Deoria</t>
  </si>
  <si>
    <t>https://www.livehindustan.com/uttar-pradesh/deoria/news</t>
  </si>
  <si>
    <t>https://feed.livehindustan.com/rss/5047</t>
  </si>
  <si>
    <t>Hindustan-Maharajganj</t>
  </si>
  <si>
    <t>https://www.livehindustan.com/uttar-pradesh/maharajganj/news</t>
  </si>
  <si>
    <t>https://feed.livehindustan.com/rss/5048</t>
  </si>
  <si>
    <t>Hindustan-Sant Kabir Nagar</t>
  </si>
  <si>
    <t>https://www.livehindustan.com/uttar-pradesh/sant-kabir-nagar/news</t>
  </si>
  <si>
    <t>https://feed.livehindustan.com/rss/5050</t>
  </si>
  <si>
    <t>Hindustan-Siddharth Nagar</t>
  </si>
  <si>
    <t>https://www.livehindustan.com/uttar-pradesh/siddharth-nagar/news</t>
  </si>
  <si>
    <t>Siddharth Nagar</t>
  </si>
  <si>
    <t>https://feed.livehindustan.com/rss/5051</t>
  </si>
  <si>
    <t>Hindustan-Bagpat</t>
  </si>
  <si>
    <t>https://www.livehindustan.com/uttar-pradesh/bagpat/news</t>
  </si>
  <si>
    <t>https://feed.livehindustan.com/rss/5052</t>
  </si>
  <si>
    <t>Hindustan-Shamli</t>
  </si>
  <si>
    <t>https://www.livehindustan.com/uttar-pradesh/shamli/news</t>
  </si>
  <si>
    <t>https://feed.livehindustan.com/rss/1237906</t>
  </si>
  <si>
    <t>Hindustan-Bijnor</t>
  </si>
  <si>
    <t>https://www.livehindustan.com/uttar-pradesh/bijnor/news</t>
  </si>
  <si>
    <t>https://feed.livehindustan.com/rss/5053</t>
  </si>
  <si>
    <t>Hindustan-Bulandshahr</t>
  </si>
  <si>
    <t>https://www.livehindustan.com/uttar-pradesh/bulandshahr/news</t>
  </si>
  <si>
    <t>https://feed.livehindustan.com/rss/5054</t>
  </si>
  <si>
    <t>Hindustan-Hapur</t>
  </si>
  <si>
    <t>https://www.livehindustan.com/uttar-pradesh/hapur/news</t>
  </si>
  <si>
    <t>https://feed.livehindustan.com/rss/5056</t>
  </si>
  <si>
    <t>Hindustan-Muzaffar Nagar</t>
  </si>
  <si>
    <t>https://www.livehindustan.com/uttar-pradesh/muzaffarnagar/news</t>
  </si>
  <si>
    <t>Muzaffar Nagar</t>
  </si>
  <si>
    <t>https://feed.livehindustan.com/rss/5057</t>
  </si>
  <si>
    <t>Hindustan-Saharanpur</t>
  </si>
  <si>
    <t>https://www.livehindustan.com/uttar-pradesh/saharanpur/news</t>
  </si>
  <si>
    <t>https://feed.livehindustan.com/rss/5058</t>
  </si>
  <si>
    <t>Hindustan-Badaun</t>
  </si>
  <si>
    <t>https://www.livehindustan.com/uttar-pradesh/badaun/news</t>
  </si>
  <si>
    <t>Badaun</t>
  </si>
  <si>
    <t>https://feed.livehindustan.com/rss/5061</t>
  </si>
  <si>
    <t>Hindustan-Lakhimpur Kheri</t>
  </si>
  <si>
    <t>https://www.livehindustan.com/uttar-pradesh/lakhimpur-kheri/news</t>
  </si>
  <si>
    <t>https://feed.livehindustan.com/rss/5062</t>
  </si>
  <si>
    <t>Hindustan-Pilibhit</t>
  </si>
  <si>
    <t>https://www.livehindustan.com/uttar-pradesh/pilibhit/news</t>
  </si>
  <si>
    <t>https://feed.livehindustan.com/rss/5063</t>
  </si>
  <si>
    <t>Hindustan-Shahjahanpur</t>
  </si>
  <si>
    <t>https://www.livehindustan.com/uttar-pradesh/shahjahanpur/news</t>
  </si>
  <si>
    <t>https://feed.livehindustan.com/rss/5064</t>
  </si>
  <si>
    <t>Hindustan-Etah</t>
  </si>
  <si>
    <t>https://www.livehindustan.com/uttar-pradesh/etah/news</t>
  </si>
  <si>
    <t>https://feed.livehindustan.com/rss/5065</t>
  </si>
  <si>
    <t>Hindustan-Firozabad</t>
  </si>
  <si>
    <t>https://www.livehindustan.com/uttar-pradesh/firozabad/news</t>
  </si>
  <si>
    <t>https://feed.livehindustan.com/rss/5066</t>
  </si>
  <si>
    <t>English</t>
  </si>
  <si>
    <t>Hindustan-Mainpuri</t>
  </si>
  <si>
    <t>https://www.livehindustan.com/uttar-pradesh/mainpuri/news</t>
  </si>
  <si>
    <t>Quoting Sources</t>
  </si>
  <si>
    <t>Zone</t>
  </si>
  <si>
    <t>Youtube Channel</t>
  </si>
  <si>
    <t>Weekly</t>
  </si>
  <si>
    <t>Twitter Handle</t>
  </si>
  <si>
    <t>Monthly</t>
  </si>
  <si>
    <t>Facebook</t>
  </si>
  <si>
    <t>https://feed.livehindustan.com/rss/5067</t>
  </si>
  <si>
    <t>Yearly</t>
  </si>
  <si>
    <t>Hindustan-Mathura</t>
  </si>
  <si>
    <t>https://www.livehindustan.com/uttar-pradesh/mathura/news</t>
  </si>
  <si>
    <t>https://feed.livehindustan.com/rss/5068</t>
  </si>
  <si>
    <t>Hindustan-Ambedkar Nagar</t>
  </si>
  <si>
    <t>https://www.livehindustan.com/uttar-pradesh/ambedkar-nagar/news</t>
  </si>
  <si>
    <t>Ambedkar City</t>
  </si>
  <si>
    <t>https://feed.livehindustan.com/rss/5069</t>
  </si>
  <si>
    <t>Hindustan-Amethi</t>
  </si>
  <si>
    <t>https://www.livehindustan.com/uttar-pradesh/amethi/news</t>
  </si>
  <si>
    <t>https://feed.livehindustan.com/rss/1237907</t>
  </si>
  <si>
    <t>Hindustan-Gauriganj</t>
  </si>
  <si>
    <t>https://www.livehindustan.com/uttar-pradesh/gauriganj/news</t>
  </si>
  <si>
    <t>Gauriganj</t>
  </si>
  <si>
    <t>https://feed.livehindustan.com/rss/1237908</t>
  </si>
  <si>
    <t>Hindustan-Shravasti</t>
  </si>
  <si>
    <t>https://www.livehindustan.com/uttar-pradesh/shravasti/news</t>
  </si>
  <si>
    <t>https://feed.livehindustan.com/rss/1237909</t>
  </si>
  <si>
    <t>Hindustan-Balrampur</t>
  </si>
  <si>
    <t>https://www.livehindustan.com/uttar-pradesh/balrampur/news</t>
  </si>
  <si>
    <t>https://feed.livehindustan.com/rss/5070</t>
  </si>
  <si>
    <t>Hindustan-Bahraich</t>
  </si>
  <si>
    <t>https://www.livehindustan.com/uttar-pradesh/bahraich/news</t>
  </si>
  <si>
    <t>https://feed.livehindustan.com/rss/5072</t>
  </si>
  <si>
    <t>Hindustan-Faizabad</t>
  </si>
  <si>
    <t>https://www.livehindustan.com/uttar-pradesh/faizabad/news</t>
  </si>
  <si>
    <t>https://feed.livehindustan.com/rss/5073</t>
  </si>
  <si>
    <t>Hindustan-Gonda</t>
  </si>
  <si>
    <t>https://www.livehindustan.com/uttar-pradesh/gonda/news</t>
  </si>
  <si>
    <t>https://feed.livehindustan.com/rss/5074</t>
  </si>
  <si>
    <t>Hindustan-Raebareli</t>
  </si>
  <si>
    <t>https://www.livehindustan.com/uttar-pradesh/raebareli/news</t>
  </si>
  <si>
    <t>https://feed.livehindustan.com/rss/5075</t>
  </si>
  <si>
    <t>Hindustan-Fatehpur</t>
  </si>
  <si>
    <t>https://www.livehindustan.com/uttar-pradesh/fatehpur/news</t>
  </si>
  <si>
    <t>https://feed.livehindustan.com/rss/896272</t>
  </si>
  <si>
    <t>Hindustan-Sitapur</t>
  </si>
  <si>
    <t>https://www.livehindustan.com/uttar-pradesh/sitapur/news</t>
  </si>
  <si>
    <t>https://feed.livehindustan.com/rss/5076</t>
  </si>
  <si>
    <t>Hindustan-Sultanpur</t>
  </si>
  <si>
    <t>https://www.livehindustan.com/uttar-pradesh/sultanpur/news</t>
  </si>
  <si>
    <t>https://feed.livehindustan.com/rss/5077</t>
  </si>
  <si>
    <t>Hindustan-Auraiya</t>
  </si>
  <si>
    <t>https://www.livehindustan.com/uttar-pradesh/auraiya/news</t>
  </si>
  <si>
    <t>https://feed.livehindustan.com/rss/5078</t>
  </si>
  <si>
    <t>Hindustan-Akbarpur</t>
  </si>
  <si>
    <t>https://www.livehindustan.com/uttar-pradesh/akbarpur/news</t>
  </si>
  <si>
    <t>Akbarpur</t>
  </si>
  <si>
    <t>https://feed.livehindustan.com/rss/1237918</t>
  </si>
  <si>
    <t>Hindustan-Billhor</t>
  </si>
  <si>
    <t>https://www.livehindustan.com/uttar-pradesh/bilhor/news</t>
  </si>
  <si>
    <t>Billhor</t>
  </si>
  <si>
    <t>https://feed.livehindustan.com/rss/1237931</t>
  </si>
  <si>
    <t>Hindustan-Lalitpur</t>
  </si>
  <si>
    <t>https://www.livehindustan.com/uttar-pradesh/lalitpur/news</t>
  </si>
  <si>
    <t>https://feed.livehindustan.com/rss/1238008</t>
  </si>
  <si>
    <t>Hindustan-Mahoba</t>
  </si>
  <si>
    <t>https://www.livehindustan.com/uttar-pradesh/mahoba/news</t>
  </si>
  <si>
    <t>https://feed.livehindustan.com/rss/1238011</t>
  </si>
  <si>
    <t>Hindustan-Kanpur Rural</t>
  </si>
  <si>
    <t>https://www.livehindustan.com/uttar-pradesh/kanpur-rural/news</t>
  </si>
  <si>
    <t>Kanpur Rural</t>
  </si>
  <si>
    <t>https://feed.livehindustan.com/rss/1238022</t>
  </si>
  <si>
    <t>Hindustan-Chitrakoot</t>
  </si>
  <si>
    <t>https://www.livehindustan.com/uttar-pradesh/chitrakoot/news</t>
  </si>
  <si>
    <t>https://feed.livehindustan.com/rss/1238035</t>
  </si>
  <si>
    <t>Hindustan-Banda</t>
  </si>
  <si>
    <t>https://www.livehindustan.com/uttar-pradesh/banda/news</t>
  </si>
  <si>
    <t>https://feed.livehindustan.com/rss/5079</t>
  </si>
  <si>
    <t>Hindustan-Etawah</t>
  </si>
  <si>
    <t>https://www.livehindustan.com/uttar-pradesh/etawah/news</t>
  </si>
  <si>
    <t>https://feed.livehindustan.com/rss/5080</t>
  </si>
  <si>
    <t>Hindustan-Farrukhabad</t>
  </si>
  <si>
    <t>https://www.livehindustan.com/uttar-pradesh/farrukhabad/news</t>
  </si>
  <si>
    <t>https://feed.livehindustan.com/rss/5081</t>
  </si>
  <si>
    <t>Hindustan-Kannauj</t>
  </si>
  <si>
    <t>https://www.livehindustan.com/uttar-pradesh/kannauj/news</t>
  </si>
  <si>
    <t>https://feed.livehindustan.com/rss/896320</t>
  </si>
  <si>
    <t>Hindustan-Hamirpur</t>
  </si>
  <si>
    <t>https://www.livehindustan.com/uttar-pradesh/hamirpur/news</t>
  </si>
  <si>
    <t>https://feed.livehindustan.com/rss/5082</t>
  </si>
  <si>
    <t>Hindustan-Hardoi</t>
  </si>
  <si>
    <t>https://www.livehindustan.com/uttar-pradesh/hardoi/news</t>
  </si>
  <si>
    <t>https://feed.livehindustan.com/rss/5083</t>
  </si>
  <si>
    <t>Hindustan-Jhansi</t>
  </si>
  <si>
    <t>https://www.livehindustan.com/uttar-pradesh/jhansi/news</t>
  </si>
  <si>
    <t>https://feed.livehindustan.com/rss/5084</t>
  </si>
  <si>
    <t>Hindustan-Orai</t>
  </si>
  <si>
    <t>https://www.livehindustan.com/uttar-pradesh/orai/news</t>
  </si>
  <si>
    <t>Orai</t>
  </si>
  <si>
    <t>https://feed.livehindustan.com/rss/5085</t>
  </si>
  <si>
    <t>Hindustan-Unnao</t>
  </si>
  <si>
    <t>https://www.livehindustan.com/uttar-pradesh/unnao/news</t>
  </si>
  <si>
    <t>https://feed.livehindustan.com/rss/5087</t>
  </si>
  <si>
    <t>Hindustan-Hathras</t>
  </si>
  <si>
    <t>https://www.livehindustan.com/uttar-pradesh/hathras/news</t>
  </si>
  <si>
    <t>https://feed.livehindustan.com/rss/5088</t>
  </si>
  <si>
    <t>Hindustan-Amroha</t>
  </si>
  <si>
    <t>https://www.livehindustan.com/uttar-pradesh/amroha/news</t>
  </si>
  <si>
    <t>https://feed.livehindustan.com/rss/5090</t>
  </si>
  <si>
    <t>Hindustan-Rampur</t>
  </si>
  <si>
    <t>https://www.livehindustan.com/uttar-pradesh/rampur/news</t>
  </si>
  <si>
    <t>https://feed.livehindustan.com/rss/5091</t>
  </si>
  <si>
    <t>Hindustan-Sambhal</t>
  </si>
  <si>
    <t>https://www.livehindustan.com/uttar-pradesh/sambhal/news</t>
  </si>
  <si>
    <t>https://feed.livehindustan.com/rss/5092</t>
  </si>
  <si>
    <t>Hindustan-Gangapar</t>
  </si>
  <si>
    <t>https://www.livehindustan.com/uttar-pradesh/gangapar/news</t>
  </si>
  <si>
    <t>Gangapar</t>
  </si>
  <si>
    <t>https://feed.livehindustan.com/rss/1238042</t>
  </si>
  <si>
    <t>Hindustan-Kaushambi</t>
  </si>
  <si>
    <t>https://www.livehindustan.com/uttar-pradesh/kausambi/news</t>
  </si>
  <si>
    <t>https://feed.livehindustan.com/rss/1238043</t>
  </si>
  <si>
    <t>Hindustan-Pratapgarh - Kunda</t>
  </si>
  <si>
    <t>https://www.livehindustan.com/uttar-pradesh/pratapgarh-kunda/news</t>
  </si>
  <si>
    <t>Kunda</t>
  </si>
  <si>
    <t>https://feed.livehindustan.com/rss/1238044</t>
  </si>
  <si>
    <t>Patrika</t>
  </si>
  <si>
    <t>Patrika Uttar Pradesh</t>
  </si>
  <si>
    <t>Patrika Agra</t>
  </si>
  <si>
    <t>Patrika Firozabad</t>
  </si>
  <si>
    <t>Patrika Mainpuri</t>
  </si>
  <si>
    <t>Patrika Mathura</t>
  </si>
  <si>
    <t>Patrika Aligarh</t>
  </si>
  <si>
    <t>Patrika Etah</t>
  </si>
  <si>
    <t>Patrika Etawah</t>
  </si>
  <si>
    <t>Patrika Hathras</t>
  </si>
  <si>
    <t>Patrika Kasganj</t>
  </si>
  <si>
    <t>Patrika Kaushambi</t>
  </si>
  <si>
    <t>Patrika Prayagraj</t>
  </si>
  <si>
    <t>Patrika Fatehpur</t>
  </si>
  <si>
    <t>Patrika Pratapgarh</t>
  </si>
  <si>
    <t>Patrika Azamgarh</t>
  </si>
  <si>
    <t>Patrika Ballia</t>
  </si>
  <si>
    <t>Patrika Mau</t>
  </si>
  <si>
    <t>Patrika Bareilly</t>
  </si>
  <si>
    <t>Patrika Budaun</t>
  </si>
  <si>
    <t>Patrika Pilibhit</t>
  </si>
  <si>
    <t>Patrika Shahjahanpur</t>
  </si>
  <si>
    <t>Patrika Basti</t>
  </si>
  <si>
    <t>Patrika Sant Kabir Nagar</t>
  </si>
  <si>
    <t>Patrika Sidharthnagar</t>
  </si>
  <si>
    <t>Patrika Banda</t>
  </si>
  <si>
    <t>Patrika Chitrakoot</t>
  </si>
  <si>
    <t>Patrika Hamirpur</t>
  </si>
  <si>
    <t>Patrika Mahoba</t>
  </si>
  <si>
    <t>Patrika Bahraich</t>
  </si>
  <si>
    <t>Patrika Balrampur</t>
  </si>
  <si>
    <t>Patrika Gonda</t>
  </si>
  <si>
    <t>Patrika Shravasti</t>
  </si>
  <si>
    <t>Patrika Ambedkar Nagar</t>
  </si>
  <si>
    <t>Patrika Amethi</t>
  </si>
  <si>
    <t>Patrika Ayodhya</t>
  </si>
  <si>
    <t>Patrika Barabanki</t>
  </si>
  <si>
    <t>Patrika Faizabad</t>
  </si>
  <si>
    <t>Patrika Sultanpur</t>
  </si>
  <si>
    <t>Patrika Deoria</t>
  </si>
  <si>
    <t>Patrika Gorakhpur</t>
  </si>
  <si>
    <t>Patrika Kushinagar</t>
  </si>
  <si>
    <t>Times Of India</t>
  </si>
  <si>
    <t>https://timesofindia.indiatimes.com/india/uttar-pradesh</t>
  </si>
  <si>
    <t>Patrika Mahrajganj</t>
  </si>
  <si>
    <t xml:space="preserve"> Uttar Pradesh</t>
  </si>
  <si>
    <t>https://timesofindia.indiatimes.com/rssfeeds/-2128819658.cms</t>
  </si>
  <si>
    <t>NavbharatTimes- Uttar Pradesh</t>
  </si>
  <si>
    <t>https://navbharattimes.indiatimes.com/state/uttar-pradesh/articlelist/21236867.cms</t>
  </si>
  <si>
    <t>Patrika Jalaun</t>
  </si>
  <si>
    <t>Patrika Jhansi</t>
  </si>
  <si>
    <t>Not Available</t>
  </si>
  <si>
    <t>Navbharattimes Kanpur</t>
  </si>
  <si>
    <t>Navbharattimes Mathura</t>
  </si>
  <si>
    <t>https://navbharattimes.indiatimes.com/state/uttar-pradesh/mathura/articlelist/19928262.cms</t>
  </si>
  <si>
    <t>Patrika Lalitpur</t>
  </si>
  <si>
    <t>Patrika Auraiya</t>
  </si>
  <si>
    <t>Navbharat Times Ayodhya</t>
  </si>
  <si>
    <t>https://navbharattimes.indiatimes.com/state/uttar-pradesh/ayodhya/articlelist/19987335.cms</t>
  </si>
  <si>
    <t>Patrika Farrukhabad</t>
  </si>
  <si>
    <t>Navbharat Times Gorakhpur</t>
  </si>
  <si>
    <t>https://navbharattimes.indiatimes.com/state/uttar-pradesh/gorakhpur/articlelist/61483701.cms</t>
  </si>
  <si>
    <t>Patrika Kannauj</t>
  </si>
  <si>
    <t>Patrika Kanpur</t>
  </si>
  <si>
    <t>Navbharat Times Aligarh</t>
  </si>
  <si>
    <t>https://navbharattimes.indiatimes.com/state/uttar-pradesh/aligarh/articlelist/75575224.cms</t>
  </si>
  <si>
    <t>Navbharat Times Agra</t>
  </si>
  <si>
    <t>https://navbharattimes.indiatimes.com/state/uttar-pradesh/agra/articlelist/61483684.cms</t>
  </si>
  <si>
    <t>Patrika Hardoi</t>
  </si>
  <si>
    <t>Navbharat Times  Varanasi</t>
  </si>
  <si>
    <t>https://navbharattimes.indiatimes.com/state/uttar-pradesh/varanasi/articlelist/61483673.cms</t>
  </si>
  <si>
    <t>Navbharat Times  PrayagRaj</t>
  </si>
  <si>
    <t>https://navbharattimes.indiatimes.com/state/uttar-pradesh/allahabad/articlelist/5195544.cms</t>
  </si>
  <si>
    <t>Patrika Lakhimpur Kheri</t>
  </si>
  <si>
    <t>Navbharat Times  Meerut</t>
  </si>
  <si>
    <t>https://navbharattimes.indiatimes.com/state/uttar-pradesh/meerut/articlelist/11364157.cms</t>
  </si>
  <si>
    <t>Navbharat Times  Bareilly</t>
  </si>
  <si>
    <t>https://navbharattimes.indiatimes.com/state/uttar-pradesh/bareilly/articlelist/75575203.cms</t>
  </si>
  <si>
    <t>Patrika Lucknow</t>
  </si>
  <si>
    <t>Navbharat Times  Moradabad</t>
  </si>
  <si>
    <t>https://navbharattimes.indiatimes.com/state/uttar-pradesh/moradabad/articlelist/75575184.cms</t>
  </si>
  <si>
    <t>Navbharat Times  shahjahanpur</t>
  </si>
  <si>
    <t>https://navbharattimes.indiatimes.com/city/shahjahanpur</t>
  </si>
  <si>
    <t>Patrika Raebareli</t>
  </si>
  <si>
    <t>Navbharat Times  ghaziabad</t>
  </si>
  <si>
    <t>https://navbharattimes.indiatimes.com/state/uttar-pradesh/ghaziabad/articlelist/75575006.cms</t>
  </si>
  <si>
    <t>Patrika Sitapur</t>
  </si>
  <si>
    <t>Navbharat Times  Bulandshahr</t>
  </si>
  <si>
    <t>https://navbharattimes.indiatimes.com/state/uttar-pradesh/bulandshahr/articlelist/75574987.cms</t>
  </si>
  <si>
    <t>Patrika Unnao</t>
  </si>
  <si>
    <t>Navbharat Times Baghpat</t>
  </si>
  <si>
    <t>https://navbharattimes.indiatimes.com/state/uttar-pradesh/bagpat/articlelist/75574968.cms</t>
  </si>
  <si>
    <t>JMD news</t>
  </si>
  <si>
    <t>https://jmdnewsflash.com/</t>
  </si>
  <si>
    <t>Patrika Bagpat</t>
  </si>
  <si>
    <t>https://jmdnewsflash.com/feed/</t>
  </si>
  <si>
    <t>Patrika Bulandshahr</t>
  </si>
  <si>
    <t>Nav Bharat Times Aligarh</t>
  </si>
  <si>
    <t>Nav Bharat Times Ambedkar Nagar</t>
  </si>
  <si>
    <t>Patrika Greater Noida</t>
  </si>
  <si>
    <t>Nav Bharat Times Amethi</t>
  </si>
  <si>
    <t>https://navbharattimes.indiatimes.com/state/uttar-pradesh/amethi/articlelist/92989585.cms</t>
  </si>
  <si>
    <t>Nav Bharat Times Amroha</t>
  </si>
  <si>
    <t>Patrika Noida</t>
  </si>
  <si>
    <t>Nav Bharat Times Auraiya</t>
  </si>
  <si>
    <t>https://navbharattimes.indiatimes.com/state/uttar-pradesh/auraiya/articlelist/92989626.cms</t>
  </si>
  <si>
    <t>Patrika Ghaziabad</t>
  </si>
  <si>
    <t>Nav Bharat Times Azamgarh</t>
  </si>
  <si>
    <t>Nav Bharat Times Badaun</t>
  </si>
  <si>
    <t>Nav Bharat Times Baghpat</t>
  </si>
  <si>
    <t>https://navbharattimes.indiatimes.com/state/uttar-pradesh/baghpat/articlelist/19928219.cms</t>
  </si>
  <si>
    <t>Patrika Ghazipur</t>
  </si>
  <si>
    <t>baghpat</t>
  </si>
  <si>
    <t>Patrika Hapur</t>
  </si>
  <si>
    <t>Nav Bharat Times Bahraich</t>
  </si>
  <si>
    <t>Nav Bharat Times Baliya</t>
  </si>
  <si>
    <t>https://navbharattimes.indiatimes.com/state/uttar-pradesh/ballia/articlelist/92989796.cms</t>
  </si>
  <si>
    <t>Patrika Meerut</t>
  </si>
  <si>
    <t>Baliya</t>
  </si>
  <si>
    <t>Nav Bharat Times Balrampur</t>
  </si>
  <si>
    <t>Patrika Bhadohi</t>
  </si>
  <si>
    <t>Nav Bharat Times Banda</t>
  </si>
  <si>
    <t>https://navbharattimes.indiatimes.com/state/uttar-pradesh/banda/articlelist/92989785.cms</t>
  </si>
  <si>
    <t>Patrika Mirzapur</t>
  </si>
  <si>
    <t>Nav Bharat Times Barabanki</t>
  </si>
  <si>
    <t>https://navbharattimes.indiatimes.com/state/uttar-pradesh/barabanki/articlelist/92989781.cms</t>
  </si>
  <si>
    <t>Patrika Sonbhadra</t>
  </si>
  <si>
    <t>barabanki</t>
  </si>
  <si>
    <t>Nav Bharat Times Bareilly</t>
  </si>
  <si>
    <t>Patrika Amroha</t>
  </si>
  <si>
    <t>Nav Bharat Times Basti</t>
  </si>
  <si>
    <t>https://navbharattimes.indiatimes.com/state/uttar-pradesh/basti/articlelist/92989793.cms</t>
  </si>
  <si>
    <t>Nav Bharat Times Bhadohi (Sant Ravidas Nagar)</t>
  </si>
  <si>
    <t>https://navbharattimes.indiatimes.com/state/uttar-pradesh/bhadohi/articlelist/92989735.cms</t>
  </si>
  <si>
    <t>Patrika Bijnor</t>
  </si>
  <si>
    <t>Bhadohi (Sant Ravidas Nagar)</t>
  </si>
  <si>
    <t>Nav Bharat Times Bijnor</t>
  </si>
  <si>
    <t>https://navbharattimes.indiatimes.com/state/uttar-pradesh/bijnor/articlelist/92989774.cms</t>
  </si>
  <si>
    <t>Patrika Moradabad</t>
  </si>
  <si>
    <t>https://navbharattimes.indiatimes.com/rssfeedsdefault.cms</t>
  </si>
  <si>
    <t>Nav Bharat Times Chandauli</t>
  </si>
  <si>
    <t>Patrika Rampur</t>
  </si>
  <si>
    <t>Nav Bharat Times Chitrakoot</t>
  </si>
  <si>
    <t>https://navbharattimes.indiatimes.com/state/uttar-pradesh/chitrakoot/articlelist/92989572.cms</t>
  </si>
  <si>
    <t>Nav Bharat Times Deoria</t>
  </si>
  <si>
    <t>Patrika Sambhal</t>
  </si>
  <si>
    <t>Nav Bharat Times Etah</t>
  </si>
  <si>
    <t>Nav Bharat Times Etawah</t>
  </si>
  <si>
    <t>https://navbharattimes.indiatimes.com/state/uttar-pradesh/etawah/articlelist/92989625.cms</t>
  </si>
  <si>
    <t>Patrika Muzaffarnagar</t>
  </si>
  <si>
    <t>Nav Bharat Times Farrukhabad</t>
  </si>
  <si>
    <t>https://navbharattimes.indiatimes.com/state/uttar-pradesh/farrukhabad/articlelist/92989831.cms</t>
  </si>
  <si>
    <t>Patrika Saharanpur</t>
  </si>
  <si>
    <t>Nav Bharat Times Fatehpur</t>
  </si>
  <si>
    <t>https://navbharattimes.indiatimes.com/state/uttar-pradesh/fatehpur/articlelist/92989835.cms</t>
  </si>
  <si>
    <t>Nav Bharat Times Firozabad</t>
  </si>
  <si>
    <t>Patrika Shamli</t>
  </si>
  <si>
    <t>Nav Bharat Times Ghazipur</t>
  </si>
  <si>
    <t>https://navbharattimes.indiatimes.com/state/uttar-pradesh/ghazipur/articlelist/92989634.cms</t>
  </si>
  <si>
    <t>Nav Bharat Times Gonda</t>
  </si>
  <si>
    <t>https://navbharattimes.indiatimes.com/state/uttar-pradesh/gonda/articlelist/92989542.cms</t>
  </si>
  <si>
    <t>Patrika Chandauli</t>
  </si>
  <si>
    <t>Patrika Jaunpur</t>
  </si>
  <si>
    <t>Nav Bharat Times Hamirpur</t>
  </si>
  <si>
    <t>https://navbharattimes.indiatimes.com/state/uttar-pradesh/hamirpur/articlelist/92989708.cms</t>
  </si>
  <si>
    <t>Nav Bharat Times Hapur</t>
  </si>
  <si>
    <t>https://navbharattimes.indiatimes.com/state/uttar-pradesh/hapur/articlelist/92989677.cms</t>
  </si>
  <si>
    <t>Patrika Varanasi</t>
  </si>
  <si>
    <t>Nav Bharat Times Hardoi</t>
  </si>
  <si>
    <t>https://navbharattimes.indiatimes.com/state/uttar-pradesh/hardoi/articlelist/92989699.cms</t>
  </si>
  <si>
    <t>Navbharat Times</t>
  </si>
  <si>
    <t>Nav Bharat Times Hathras</t>
  </si>
  <si>
    <t>Nav Bharat Times Jaunpur</t>
  </si>
  <si>
    <t>https://navbharattimes.indiatimes.com/state/uttar-pradesh/jaunpur/articlelist/92989849.cms</t>
  </si>
  <si>
    <t>https://navbharattimes.indiatimes.com/state/uttar-pradesh/kanpur/articlelist/5194950.cms</t>
  </si>
  <si>
    <t>Nav Bharat Times Jhansi</t>
  </si>
  <si>
    <t>https://navbharattimes.indiatimes.com/state/uttar-pradesh/jhansi/articlelist/92989606.cms</t>
  </si>
  <si>
    <t>Nav Bharat Times Kannauj</t>
  </si>
  <si>
    <t>https://navbharattimes.indiatimes.com/state/uttar-pradesh/kannauj/articlelist/92989629.cms</t>
  </si>
  <si>
    <t>Nav Bharat Times Kanpur</t>
  </si>
  <si>
    <t>Nav Bharat Times Kasganj</t>
  </si>
  <si>
    <t>Nav Bharat Times Kaushambi</t>
  </si>
  <si>
    <t>https://navbharattimes.indiatimes.com/state/uttar-pradesh/kaushambi/articlelist/92989659.cms</t>
  </si>
  <si>
    <t>Nav Bharat Times Kushinagar</t>
  </si>
  <si>
    <t>https://navbharattimes.indiatimes.com/state/uttar-pradesh/kushinagar/articlelist/92989608.cms</t>
  </si>
  <si>
    <t>Nav Bharat Times Lakhimpur Kheri</t>
  </si>
  <si>
    <t>Nav Bharat Times Lalitpur</t>
  </si>
  <si>
    <t>https://navbharattimes.indiatimes.com/state/uttar-pradesh/lalitpur/articlelist/92989752.cms</t>
  </si>
  <si>
    <t>Nav Bharat Times Lucknow</t>
  </si>
  <si>
    <t>Nav Bharat Times Maharajganj</t>
  </si>
  <si>
    <t>https://navbharattimes.indiatimes.com/state/uttar-pradesh/maharajganj/articlelist/92989765.cms</t>
  </si>
  <si>
    <t>Nav Bharat Times Mahoba</t>
  </si>
  <si>
    <t>https://navbharattimes.indiatimes.com/state/uttar-pradesh/mahoba/articlelist/92989763.cms</t>
  </si>
  <si>
    <t>mahoba</t>
  </si>
  <si>
    <t>Nav Bharat Times Mainpuri</t>
  </si>
  <si>
    <t>https://navbharattimes.indiatimes.com/state/uttar-pradesh/mainpuri/articlelist/92989761.cms</t>
  </si>
  <si>
    <t>Nav Bharat Times Mau</t>
  </si>
  <si>
    <t>https://navbharattimes.indiatimes.com/state/uttar-pradesh/mau/articlelist/92989767.cms</t>
  </si>
  <si>
    <t>Nav Bharat Times Mirzapur</t>
  </si>
  <si>
    <t>https://navbharattimes.indiatimes.com/state/uttar-pradesh/mirzapur/articlelist/75575063.cms</t>
  </si>
  <si>
    <t>Nav Bharat Times Moradabad</t>
  </si>
  <si>
    <t>Nav Bharat Times Muzaffarnagar</t>
  </si>
  <si>
    <t>Nav Bharat Times Pilibhit</t>
  </si>
  <si>
    <t>pilibhit</t>
  </si>
  <si>
    <t>Nav Bharat Times Pratapgarh</t>
  </si>
  <si>
    <t>Nav Bharat Times Rae Bareli</t>
  </si>
  <si>
    <t>https://navbharattimes.indiatimes.com/state/uttar-pradesh/raebareli/articlelist/75575044.cms</t>
  </si>
  <si>
    <t>Rae Bareli</t>
  </si>
  <si>
    <t>Nav Bharat Times Rampur</t>
  </si>
  <si>
    <t>Nav Bharat Times Saharanpur</t>
  </si>
  <si>
    <t>https://navbharattimes.indiatimes.com/state/uttar-pradesh/ambedkar-nagar/articlelist/92989536.cms</t>
  </si>
  <si>
    <t>Nav Bharat Times Sambhal</t>
  </si>
  <si>
    <t>https://navbharattimes.indiatimes.com/state/uttar-pradesh/sambhal/articlelist/92989724.cms</t>
  </si>
  <si>
    <t>sambhal</t>
  </si>
  <si>
    <t>Nav Bharat Times Sant Kabir Nagar</t>
  </si>
  <si>
    <t>https://navbharattimes.indiatimes.com/state/uttar-pradesh/sant-kabir-nagar/articlelist/92989739.cms</t>
  </si>
  <si>
    <t>https://navbharattimes.indiatimes.com/state/uttar-pradesh/amroha/articlelist/92989654.cms</t>
  </si>
  <si>
    <t>Nav Bharat Times Shahjahanpur</t>
  </si>
  <si>
    <t>Nav Bharat Times Shamli</t>
  </si>
  <si>
    <t>https://navbharattimes.indiatimes.com/state/uttar-pradesh/shamli/articlelist/92989748.cms</t>
  </si>
  <si>
    <t>https://navbharattimes.indiatimes.com/state/uttar-pradesh/azamgarh/articlelist/75575106.cms</t>
  </si>
  <si>
    <t>https://navbharattimes.indiatimes.com/state/uttar-pradesh/badaun/articlelist/92989815.cms</t>
  </si>
  <si>
    <t>Nav Bharat Times Shravasti</t>
  </si>
  <si>
    <t>https://navbharattimes.indiatimes.com/state/uttar-pradesh/shravasti/articlelist/92989746.cms</t>
  </si>
  <si>
    <t>Nav Bharat Times Siddharthnagar</t>
  </si>
  <si>
    <t>https://navbharattimes.indiatimes.com/state/uttar-pradesh/siddharthnagar/articlelist/92989723.cms</t>
  </si>
  <si>
    <t>https://navbharattimes.indiatimes.com/state/uttar-pradesh/bahraich/articlelist/92989786.cms</t>
  </si>
  <si>
    <t>Nav Bharat Times Sitapur</t>
  </si>
  <si>
    <t>Nav Bharat Times Sonbhadra</t>
  </si>
  <si>
    <t>https://navbharattimes.indiatimes.com/state/uttar-pradesh/sonbhadra/articlelist/92989719.cms</t>
  </si>
  <si>
    <t>Nav Bharat Times Sultanpur</t>
  </si>
  <si>
    <t>Balia</t>
  </si>
  <si>
    <t>Nav Bharat Times Unnao</t>
  </si>
  <si>
    <t>https://navbharattimes.indiatimes.com/state/uttar-pradesh/unnao/articlelist/92989661.cms</t>
  </si>
  <si>
    <t>https://navbharattimes.indiatimes.com/state/uttar-pradesh/balrampur/articlelist/92989566.cms</t>
  </si>
  <si>
    <t>Chandauli Samachar</t>
  </si>
  <si>
    <t>https://chandaulisamachar.com/</t>
  </si>
  <si>
    <t>Inext Gorakhpur</t>
  </si>
  <si>
    <t>https://www.inextlive.com/uttar-pradesh/gorakhpur/</t>
  </si>
  <si>
    <t>Public News Maharajganj</t>
  </si>
  <si>
    <t>https://public.app/city/news-in-maharajganj</t>
  </si>
  <si>
    <t>TVL News Basti</t>
  </si>
  <si>
    <t>https://www.thevirallines.net/</t>
  </si>
  <si>
    <t xml:space="preserve">FT News digital live </t>
  </si>
  <si>
    <t>https://www.friendstimes.in/?fbclid=IwY2xjawJ1y8pleHRuA2FlbQIxMABicmlkETF2WFZlUjhyQU92OFA2RTNQAR5goupmSiB43pAvaJ_JSJs-_zJOke7_jh-uCpdsBn9YZoqr2zF2PYtsH0_5og_aem_aiZhpN6YWfFeFkEPKPnbRQ#google_vignette</t>
  </si>
  <si>
    <t>https://navbharattimes.indiatimes.com/state/uttar-pradesh/chandauli/articlelist/92989637.cms</t>
  </si>
  <si>
    <t>Siddharthnagr</t>
  </si>
  <si>
    <t>Deoria Times</t>
  </si>
  <si>
    <t>https://thedeoriatimes.com/</t>
  </si>
  <si>
    <t>Azamagarh Live</t>
  </si>
  <si>
    <t>https://www.azmlive.in/?fbclid=IwY2xjawJ1zIpleHRuA2FlbQIxMABicmlkETF2WFZlUjhyQU92OFA2RTNQAR6_7bPismvJpa-N4MHCrDfdr1qrhhYNLRTuRmgamJ0ckzmSjnXfZPvTv_0iKA_aem_V6sLAOMA0k463I7zkrihkg#google_vignette</t>
  </si>
  <si>
    <t>https://navbharattimes.indiatimes.com/state/uttar-pradesh/deoria/articlelist/92989581.cms</t>
  </si>
  <si>
    <t>Azamagarh</t>
  </si>
  <si>
    <t>Ballia Live</t>
  </si>
  <si>
    <t>https://ballialive.in/?fbclid=IwY2xjawJ1zNlleHRuA2FlbQIxMABicmlkETF2WFZlUjhyQU92OFA2RTNQAR5wjtc8rq5x4hk7mzp2Cn-Quew9zDayy114SiP-0UikZGdBudZSBua0uo84IA_aem_ZxxWkUQc_iWhbHYE80IZQg</t>
  </si>
  <si>
    <t>https://navbharattimes.indiatimes.com/state/uttar-pradesh/etah/articlelist/92989670.cms</t>
  </si>
  <si>
    <t>Kushinagar News</t>
  </si>
  <si>
    <t>https://navbharattimes.indiatimes.com/state/uttar-pradesh/firozabad/articlelist/92989817.cms</t>
  </si>
  <si>
    <t>https://navbharattimes.indiatimes.com/state/uttar-pradesh/hathras/articlelist/92989679.cms</t>
  </si>
  <si>
    <t>https://navbharattimes.indiatimes.com/state/uttar-pradesh/kasganj/articlelist/92989668.cms</t>
  </si>
  <si>
    <t>https://navbharattimes.indiatimes.com/state/uttar-pradesh/lakhimpur-kheri/articlelist/92989844.cms</t>
  </si>
  <si>
    <t>https://navbharattimes.indiatimes.com/metro/lucknow/articlelist/21248218.cms</t>
  </si>
  <si>
    <t>https://navbharattimes.indiatimes.com/state/uttar-pradesh/muzaffarnagar/articlelist/75574943.cms</t>
  </si>
  <si>
    <t>https://navbharattimes.indiatimes.com/state/uttar-pradesh/pilibhit/articlelist/92989841.cms</t>
  </si>
  <si>
    <t>https://navbharattimes.indiatimes.com/state/uttar-pradesh/pratapgarh/articlelist/92989839.cms</t>
  </si>
  <si>
    <t>https://navbharattimes.indiatimes.com/state/uttar-pradesh/rampur/articlelist/92989754.cms</t>
  </si>
  <si>
    <t>https://navbharattimes.indiatimes.com/state/uttar-pradesh/saharanpur/articlelist/19928210.cms</t>
  </si>
  <si>
    <t>https://navbharattimes.indiatimes.com/state/uttar-pradesh/shahjahanpur/articlelist/75575131.cms</t>
  </si>
  <si>
    <t>https://navbharattimes.indiatimes.com/state/uttar-pradesh/sitapur/articlelist/92989730.cms</t>
  </si>
  <si>
    <t>https://navbharattimes.indiatimes.com/state/uttar-pradesh/sultanpur/articlelist/92989720.cms</t>
  </si>
  <si>
    <t>Kanpur-Bundelkhand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</si>
</sst>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rgb="FF030303"/>
      <name val="&quot;Noto Sans Devanagari&quot;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/>
    <font>
      <u/>
      <color rgb="FF0000FF"/>
    </font>
    <font>
      <u/>
      <color rgb="FF030303"/>
      <name val="&quot;Noto Sans Devanagari&quot;"/>
    </font>
    <font>
      <u/>
      <color rgb="FF0000FF"/>
    </font>
    <font>
      <u/>
      <color rgb="FF0000FF"/>
    </font>
    <font>
      <u/>
      <color rgb="FF0000FF"/>
    </font>
    <font>
      <color rgb="FF080809"/>
      <name val="&quot;Segoe UI Historic&quot;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2" fillId="3" fontId="3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0" fillId="0" fontId="7" numFmtId="0" xfId="0" applyFont="1"/>
    <xf borderId="0" fillId="0" fontId="3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0"/>
    </xf>
    <xf borderId="0" fillId="4" fontId="12" numFmtId="0" xfId="0" applyAlignment="1" applyFill="1" applyFont="1">
      <alignment readingOrder="0" shrinkToFit="0" wrapText="1"/>
    </xf>
    <xf borderId="1" fillId="0" fontId="13" numFmtId="0" xfId="0" applyAlignment="1" applyBorder="1" applyFont="1">
      <alignment horizontal="center" readingOrder="0" shrinkToFit="0" vertical="center" wrapText="0"/>
    </xf>
    <xf borderId="0" fillId="4" fontId="12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5ba59026-e849-4b4d-8ef2-bbc7db4ff574}">
    <Anchor>
      <Comment id="{64ce57e6-fa5c-4a9e-a687-f9db47212f0f}"/>
    </Anchor>
    <History>
      <Event time="2025-04-23T10:01:04.00" id="{dbceed53-7ded-4ecc-95d6-c8edaa069a7e}">
        <Attribution userId="placeholder@email.com" userName="Nishant Gupta" userProvider="google-sheets"/>
        <Anchor>
          <Comment id="{64ce57e6-fa5c-4a9e-a687-f9db47212f0f}"/>
        </Anchor>
        <Create/>
      </Event>
      <Event time="2025-04-23T10:01:04.00" id="{1f73a3ea-c493-49c2-a26e-ed7836dc2cf1}">
        <Attribution userId="placeholder@email.com" userName="Nishant Gupta" userProvider="google-sheets"/>
        <Anchor>
          <Comment id="{64ce57e6-fa5c-4a9e-a687-f9db47212f0f}"/>
        </Anchor>
        <Assign userProvider="google-sheets"/>
      </Event>
    </History>
  </Task>
  <Task id="{f5196ba2-235b-4b2e-96b0-f09cab7fd289}">
    <Anchor>
      <Comment id="{0304bed1-497c-4d57-b333-fbca8f3202a4}"/>
    </Anchor>
    <History>
      <Event time="2025-04-24T05:29:29.00" id="{b0f62c71-a262-4921-b03e-fd91c98f7a6e}">
        <Attribution userId="placeholder@email.com" userName="Roopak Kapoor" userProvider="google-sheets"/>
        <Anchor>
          <Comment id="{0304bed1-497c-4d57-b333-fbca8f3202a4}"/>
        </Anchor>
        <Create/>
      </Event>
      <Event time="2025-04-24T05:29:29.00" id="{c9c92b56-8600-41fa-b99b-ec005b6603fc}">
        <Attribution userId="placeholder@email.com" userName="Roopak Kapoor" userProvider="google-sheets"/>
        <Anchor>
          <Comment id="{0304bed1-497c-4d57-b333-fbca8f3202a4}"/>
        </Anchor>
        <Assign userId="shivanshu.sharma@inverv.com" userName="shivanshu.sharma@inverv.com" userProvider="google-sheets"/>
      </Event>
    </History>
  </Task>
  <Task id="{bf2fcdc3-8e9b-4dd2-9cdd-7e5cceb6149f}">
    <Anchor>
      <Comment id="{d6249e37-66a0-4184-8723-c4ba02bff9a4}"/>
    </Anchor>
    <History>
      <Event time="2025-04-24T05:29:16.00" id="{bafa15c1-eb96-4a93-b87e-7987f3cafb8b}">
        <Attribution userId="placeholder@email.com" userName="Roopak Kapoor" userProvider="google-sheets"/>
        <Anchor>
          <Comment id="{d6249e37-66a0-4184-8723-c4ba02bff9a4}"/>
        </Anchor>
        <Create/>
      </Event>
      <Event time="2025-04-24T05:29:16.00" id="{12386785-6e40-4bbd-8b04-ddcf166572ab}">
        <Attribution userId="placeholder@email.com" userName="Roopak Kapoor" userProvider="google-sheets"/>
        <Anchor>
          <Comment id="{d6249e37-66a0-4184-8723-c4ba02bff9a4}"/>
        </Anchor>
        <Assign userId="shivanshu.sharma@inverv.com" userName="shivanshu.sharma@inverv.com" userProvider="google-sheets"/>
      </Event>
    </History>
  </Task>
  <Task id="{22b10fe3-4bf5-4cc4-a82d-6a0a2f6b7465}">
    <Anchor>
      <Comment id="{abdc0a9b-1a54-4a8c-886e-115f9e7f3517}"/>
    </Anchor>
    <History>
      <Event time="2025-04-23T08:38:36.00" id="{9a63fd02-f433-4823-8b29-0aea4e59cebf}">
        <Attribution userId="placeholder@email.com" userName="Nishant Gupta" userProvider="google-sheets"/>
        <Anchor>
          <Comment id="{abdc0a9b-1a54-4a8c-886e-115f9e7f3517}"/>
        </Anchor>
        <Create/>
      </Event>
      <Event time="2025-04-23T08:38:36.00" id="{24839b1e-a6ad-4310-bd02-a4199e6d3ea1}">
        <Attribution userId="placeholder@email.com" userName="Nishant Gupta" userProvider="google-sheets"/>
        <Anchor>
          <Comment id="{abdc0a9b-1a54-4a8c-886e-115f9e7f3517}"/>
        </Anchor>
        <Assign userProvider="google-sheets"/>
      </Event>
    </History>
  </Task>
  <Task id="{8d342529-c084-44d7-8866-e4d5add165e7}">
    <Anchor>
      <Comment id="{7f42db7e-01ab-4d23-af50-9aea68cc9682}"/>
    </Anchor>
    <History>
      <Event time="2025-04-23T10:01:21.00" id="{e60f9c35-5d79-4edc-8814-b8197230f716}">
        <Attribution userId="placeholder@email.com" userName="Nishant Gupta" userProvider="google-sheets"/>
        <Anchor>
          <Comment id="{7f42db7e-01ab-4d23-af50-9aea68cc9682}"/>
        </Anchor>
        <Create/>
      </Event>
      <Event time="2025-04-23T10:01:21.00" id="{8da38f26-1504-47f0-ace0-13e8dd26385d}">
        <Attribution userId="placeholder@email.com" userName="Nishant Gupta" userProvider="google-sheets"/>
        <Anchor>
          <Comment id="{7f42db7e-01ab-4d23-af50-9aea68cc9682}"/>
        </Anchor>
        <Assign userId="aryan.kashyap@inverv.com" userName="aryan.kashyap@inverv.com" userProvider="google-sheets"/>
      </Event>
    </History>
  </Task>
  <Task id="{87bc4117-2219-461e-98c3-c08067fa6340}">
    <Anchor>
      <Comment id="{5e4dfdac-ef85-4efb-8f57-52577402bbf8}"/>
    </Anchor>
    <History>
      <Event time="2025-04-24T05:29:04.00" id="{6e2ee91a-b8d0-4443-931a-335cf0293ddd}">
        <Attribution userId="placeholder@email.com" userName="Roopak Kapoor" userProvider="google-sheets"/>
        <Anchor>
          <Comment id="{5e4dfdac-ef85-4efb-8f57-52577402bbf8}"/>
        </Anchor>
        <Create/>
      </Event>
      <Event time="2025-04-24T05:29:04.00" id="{a49230b5-21d6-4b2a-b0fe-fabe75b71ed0}">
        <Attribution userId="placeholder@email.com" userName="Roopak Kapoor" userProvider="google-sheets"/>
        <Anchor>
          <Comment id="{5e4dfdac-ef85-4efb-8f57-52577402bbf8}"/>
        </Anchor>
        <Assign userId="shivanshu.sharma@inverv.com" userName="shivanshu.sharma@inverv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shant Gupta" id="{063fd4bf-072e-4663-a591-5b2fbdcdd283}" providerId="google-sheets"/>
  <x18tc:person displayName="akhilesh.kuriyal@inverv.com" id="{249c589e-8d72-49f3-987f-8e7c63ab9707}" userId="akhilesh.kuriyal@inverv.com" providerId="google-sheets"/>
  <x18tc:person displayName="aryan.kashyap@inverv.com" id="{08918dbd-633b-446c-9cac-58801631bc75}" userId="aryan.kashyap@inverv.com" providerId="google-sheets"/>
  <x18tc:person displayName="shivanshu.sharma@inverv.com" id="{0df06083-369b-417e-b981-2223ff348764}" userId="shivanshu.sharma@inverv.com" providerId="google-sheets"/>
  <x18tc:person displayName="avishka.tandon@inverv.com" id="{4beb1088-836b-4b15-baf2-aadaca039f51}" userId="avishka.tandon@inverv.com" providerId="google-sheets"/>
  <x18tc:person displayName="Roopak Kapoor" id="{56e9a817-aa30-4e9c-82df-16aaf43d0a7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23" dT="2025-04-23T10:01:04.00" personId="{063fd4bf-072e-4663-a591-5b2fbdcdd283}" id="{64ce57e6-fa5c-4a9e-a687-f9db47212f0f}" done="1">
    <x18tc:text xml:space="preserve">@akhilesh.kuriyal@inverv.com please complete for all your districts
Assigned to </x18tc:text>
    <x18tc:mentions>
      <x18tc:mention mentionpersonId="{249c589e-8d72-49f3-987f-8e7c63ab9707}" mentionId="{dd7ceabf-9f4d-43a9-bb47-244ba657d056}" startIndex="0" length="28"/>
    </x18tc:mentions>
  </x18tc:threadedComment>
  <x18tc:threadedComment ref="C7" dT="2025-04-24T05:29:29.00" personId="{56e9a817-aa30-4e9c-82df-16aaf43d0a77}" id="{0304bed1-497c-4d57-b333-fbca8f3202a4}" done="1">
    <x18tc:text xml:space="preserve">@shivanshu.sharma@inverv.com
Assigned to shivanshu.sharma@inverv.com</x18tc:text>
    <x18tc:mentions>
      <x18tc:mention mentionpersonId="{0df06083-369b-417e-b981-2223ff348764}" mentionId="{a9e0cd35-108a-433d-989e-f04be8e63499}" startIndex="0" length="28"/>
    </x18tc:mentions>
  </x18tc:threadedComment>
  <x18tc:threadedComment ref="E9" dT="2025-04-24T05:29:16.00" personId="{56e9a817-aa30-4e9c-82df-16aaf43d0a77}" id="{d6249e37-66a0-4184-8723-c4ba02bff9a4}" done="1">
    <x18tc:text xml:space="preserve">@shivanshu.sharma@inverv.com
Assigned to shivanshu.sharma@inverv.com</x18tc:text>
    <x18tc:mentions>
      <x18tc:mention mentionpersonId="{0df06083-369b-417e-b981-2223ff348764}" mentionId="{ab632338-d3de-4c01-8fef-c2a1348100a7}" startIndex="0" length="28"/>
    </x18tc:mentions>
  </x18tc:threadedComment>
  <x18tc:threadedComment ref="B175" dT="2025-04-23T08:38:36.00" personId="{063fd4bf-072e-4663-a591-5b2fbdcdd283}" id="{abdc0a9b-1a54-4a8c-886e-115f9e7f3517}" done="1">
    <x18tc:text xml:space="preserve">@avishka.tandon@inverv.com please close for all your districts
Assigned to </x18tc:text>
    <x18tc:mentions>
      <x18tc:mention mentionpersonId="{4beb1088-836b-4b15-baf2-aadaca039f51}" mentionId="{b10acd03-936b-472b-b55f-64d735c99930}" startIndex="0" length="26"/>
    </x18tc:mentions>
  </x18tc:threadedComment>
  <x18tc:threadedComment ref="B231" dT="2025-04-23T10:01:21.00" personId="{063fd4bf-072e-4663-a591-5b2fbdcdd283}" id="{7f42db7e-01ab-4d23-af50-9aea68cc9682}" done="1">
    <x18tc:text xml:space="preserve">@aryan.kashyap@inverv.com please complete for all your districts
Assigned to aryan.kashyap@inverv.com</x18tc:text>
    <x18tc:mentions>
      <x18tc:mention mentionpersonId="{08918dbd-633b-446c-9cac-58801631bc75}" mentionId="{9fee4542-23be-4e96-9aa6-a0c200e16003}" startIndex="0" length="25"/>
    </x18tc:mentions>
  </x18tc:threadedComment>
  <x18tc:threadedComment ref="E8" dT="2025-04-24T05:29:04.00" personId="{56e9a817-aa30-4e9c-82df-16aaf43d0a77}" id="{5e4dfdac-ef85-4efb-8f57-52577402bbf8}" done="1">
    <x18tc:text xml:space="preserve">@shivanshu.sharma@inverv.com
Assigned to shivanshu.sharma@inverv.com</x18tc:text>
    <x18tc:mentions>
      <x18tc:mention mentionpersonId="{0df06083-369b-417e-b981-2223ff348764}" mentionId="{3878cef2-941d-4821-b694-e131bd064b6d}" startIndex="0" length="28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vehindustan.com/uttar-pradesh/sonbhadra/news" TargetMode="External"/><Relationship Id="rId194" Type="http://schemas.openxmlformats.org/officeDocument/2006/relationships/hyperlink" Target="https://www.livehindustan.com/uttar-pradesh/kushinagar/news" TargetMode="External"/><Relationship Id="rId193" Type="http://schemas.openxmlformats.org/officeDocument/2006/relationships/hyperlink" Target="https://feed.livehindustan.com/rss/5046" TargetMode="External"/><Relationship Id="rId192" Type="http://schemas.openxmlformats.org/officeDocument/2006/relationships/hyperlink" Target="https://www.livehindustan.com/uttar-pradesh/basti/news" TargetMode="External"/><Relationship Id="rId191" Type="http://schemas.openxmlformats.org/officeDocument/2006/relationships/hyperlink" Target="https://feed.livehindustan.com/rss/5045" TargetMode="External"/><Relationship Id="rId187" Type="http://schemas.openxmlformats.org/officeDocument/2006/relationships/hyperlink" Target="https://feed.livehindustan.com/rss/5043" TargetMode="External"/><Relationship Id="rId186" Type="http://schemas.openxmlformats.org/officeDocument/2006/relationships/hyperlink" Target="https://www.livehindustan.com/uttar-pradesh/mau/news" TargetMode="External"/><Relationship Id="rId185" Type="http://schemas.openxmlformats.org/officeDocument/2006/relationships/hyperlink" Target="https://feed.livehindustan.com/rss/5042" TargetMode="External"/><Relationship Id="rId184" Type="http://schemas.openxmlformats.org/officeDocument/2006/relationships/hyperlink" Target="https://www.livehindustan.com/uttar-pradesh/jaunpur/news" TargetMode="External"/><Relationship Id="rId189" Type="http://schemas.openxmlformats.org/officeDocument/2006/relationships/hyperlink" Target="https://feed.livehindustan.com/rss/5044" TargetMode="External"/><Relationship Id="rId188" Type="http://schemas.openxmlformats.org/officeDocument/2006/relationships/hyperlink" Target="https://www.livehindustan.com/uttar-pradesh/mirzapur/news" TargetMode="External"/><Relationship Id="rId183" Type="http://schemas.openxmlformats.org/officeDocument/2006/relationships/hyperlink" Target="https://feed.livehindustan.com/rss/5041" TargetMode="External"/><Relationship Id="rId182" Type="http://schemas.openxmlformats.org/officeDocument/2006/relationships/hyperlink" Target="https://www.livehindustan.com/uttar-pradesh/ghazipur/news" TargetMode="External"/><Relationship Id="rId181" Type="http://schemas.openxmlformats.org/officeDocument/2006/relationships/hyperlink" Target="https://feed.livehindustan.com/rss/5040" TargetMode="External"/><Relationship Id="rId180" Type="http://schemas.openxmlformats.org/officeDocument/2006/relationships/hyperlink" Target="https://www.livehindustan.com/uttar-pradesh/chandauli/news" TargetMode="External"/><Relationship Id="rId176" Type="http://schemas.openxmlformats.org/officeDocument/2006/relationships/hyperlink" Target="https://www.livehindustan.com/uttar-pradesh/balia/news" TargetMode="External"/><Relationship Id="rId297" Type="http://schemas.openxmlformats.org/officeDocument/2006/relationships/hyperlink" Target="https://feed.livehindustan.com/rss/5092" TargetMode="External"/><Relationship Id="rId175" Type="http://schemas.openxmlformats.org/officeDocument/2006/relationships/hyperlink" Target="https://feed.livehindustan.com/rss/5037" TargetMode="External"/><Relationship Id="rId296" Type="http://schemas.openxmlformats.org/officeDocument/2006/relationships/hyperlink" Target="https://www.livehindustan.com/uttar-pradesh/sambhal/news" TargetMode="External"/><Relationship Id="rId174" Type="http://schemas.openxmlformats.org/officeDocument/2006/relationships/hyperlink" Target="https://www.livehindustan.com/uttar-pradesh/azamgarh/news" TargetMode="External"/><Relationship Id="rId295" Type="http://schemas.openxmlformats.org/officeDocument/2006/relationships/hyperlink" Target="https://feed.livehindustan.com/rss/5091" TargetMode="External"/><Relationship Id="rId173" Type="http://schemas.openxmlformats.org/officeDocument/2006/relationships/hyperlink" Target="https://feed.livehindustan.com/rss/1348440" TargetMode="External"/><Relationship Id="rId294" Type="http://schemas.openxmlformats.org/officeDocument/2006/relationships/hyperlink" Target="https://www.livehindustan.com/uttar-pradesh/rampur/news" TargetMode="External"/><Relationship Id="rId179" Type="http://schemas.openxmlformats.org/officeDocument/2006/relationships/hyperlink" Target="https://feed.livehindustan.com/rss/5039" TargetMode="External"/><Relationship Id="rId178" Type="http://schemas.openxmlformats.org/officeDocument/2006/relationships/hyperlink" Target="https://www.livehindustan.com/uttar-pradesh/bhadohi/news" TargetMode="External"/><Relationship Id="rId299" Type="http://schemas.openxmlformats.org/officeDocument/2006/relationships/hyperlink" Target="https://feed.livehindustan.com/rss/1238042" TargetMode="External"/><Relationship Id="rId177" Type="http://schemas.openxmlformats.org/officeDocument/2006/relationships/hyperlink" Target="https://feed.livehindustan.com/rss/5038" TargetMode="External"/><Relationship Id="rId298" Type="http://schemas.openxmlformats.org/officeDocument/2006/relationships/hyperlink" Target="https://www.livehindustan.com/uttar-pradesh/gangapar/news" TargetMode="External"/><Relationship Id="rId198" Type="http://schemas.openxmlformats.org/officeDocument/2006/relationships/hyperlink" Target="https://www.livehindustan.com/uttar-pradesh/maharajganj/news" TargetMode="External"/><Relationship Id="rId197" Type="http://schemas.openxmlformats.org/officeDocument/2006/relationships/hyperlink" Target="https://feed.livehindustan.com/rss/5047" TargetMode="External"/><Relationship Id="rId196" Type="http://schemas.openxmlformats.org/officeDocument/2006/relationships/hyperlink" Target="https://www.livehindustan.com/uttar-pradesh/deoria/news" TargetMode="External"/><Relationship Id="rId195" Type="http://schemas.openxmlformats.org/officeDocument/2006/relationships/hyperlink" Target="https://feed.livehindustan.com/rss/1237903" TargetMode="External"/><Relationship Id="rId199" Type="http://schemas.openxmlformats.org/officeDocument/2006/relationships/hyperlink" Target="https://feed.livehindustan.com/rss/5048" TargetMode="External"/><Relationship Id="rId150" Type="http://schemas.openxmlformats.org/officeDocument/2006/relationships/hyperlink" Target="https://www.livehindustan.com/uttar-pradesh" TargetMode="External"/><Relationship Id="rId271" Type="http://schemas.openxmlformats.org/officeDocument/2006/relationships/hyperlink" Target="https://feed.livehindustan.com/rss/1238035" TargetMode="External"/><Relationship Id="rId392" Type="http://schemas.openxmlformats.org/officeDocument/2006/relationships/hyperlink" Target="https://www.patrika.com/lalitpur-news" TargetMode="External"/><Relationship Id="rId270" Type="http://schemas.openxmlformats.org/officeDocument/2006/relationships/hyperlink" Target="https://www.livehindustan.com/uttar-pradesh/chitrakoot/news" TargetMode="External"/><Relationship Id="rId391" Type="http://schemas.openxmlformats.org/officeDocument/2006/relationships/hyperlink" Target="https://cms.patrika.com/blog/location/jhansi-news/feed/" TargetMode="External"/><Relationship Id="rId390" Type="http://schemas.openxmlformats.org/officeDocument/2006/relationships/hyperlink" Target="https://www.patrika.com/jhansi-news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ww.amarujala.com/rss/ghaziabad.xml" TargetMode="External"/><Relationship Id="rId4" Type="http://schemas.openxmlformats.org/officeDocument/2006/relationships/hyperlink" Target="https://www.amarujala.com/uttar-pradesh" TargetMode="External"/><Relationship Id="rId148" Type="http://schemas.openxmlformats.org/officeDocument/2006/relationships/hyperlink" Target="https://www.amarujala.com/delhi-ncr/ghaziabad" TargetMode="External"/><Relationship Id="rId269" Type="http://schemas.openxmlformats.org/officeDocument/2006/relationships/hyperlink" Target="https://feed.livehindustan.com/rss/1238022" TargetMode="External"/><Relationship Id="rId9" Type="http://schemas.openxmlformats.org/officeDocument/2006/relationships/hyperlink" Target="https://www.amarujala.com/rss/lucknow.xml" TargetMode="External"/><Relationship Id="rId143" Type="http://schemas.openxmlformats.org/officeDocument/2006/relationships/hyperlink" Target="https://www.amarujala.com/rss/hamirpur.xml" TargetMode="External"/><Relationship Id="rId264" Type="http://schemas.openxmlformats.org/officeDocument/2006/relationships/hyperlink" Target="https://www.livehindustan.com/uttar-pradesh/lalitpur/news" TargetMode="External"/><Relationship Id="rId385" Type="http://schemas.openxmlformats.org/officeDocument/2006/relationships/hyperlink" Target="https://cms.patrika.com/blog/location/kushinagar-news/feed/" TargetMode="External"/><Relationship Id="rId142" Type="http://schemas.openxmlformats.org/officeDocument/2006/relationships/hyperlink" Target="https://www.amarujala.com/uttar-pradesh/hamirpur" TargetMode="External"/><Relationship Id="rId263" Type="http://schemas.openxmlformats.org/officeDocument/2006/relationships/hyperlink" Target="https://feed.livehindustan.com/rss/1237931" TargetMode="External"/><Relationship Id="rId384" Type="http://schemas.openxmlformats.org/officeDocument/2006/relationships/hyperlink" Target="https://www.patrika.com/kushinagar-news" TargetMode="External"/><Relationship Id="rId141" Type="http://schemas.openxmlformats.org/officeDocument/2006/relationships/hyperlink" Target="https://www.amarujala.com/rss/sonebhadra.xml" TargetMode="External"/><Relationship Id="rId262" Type="http://schemas.openxmlformats.org/officeDocument/2006/relationships/hyperlink" Target="https://www.livehindustan.com/uttar-pradesh/bilhor/news" TargetMode="External"/><Relationship Id="rId383" Type="http://schemas.openxmlformats.org/officeDocument/2006/relationships/hyperlink" Target="https://cms.patrika.com/blog/location/gorakhpur-news/feed/" TargetMode="External"/><Relationship Id="rId140" Type="http://schemas.openxmlformats.org/officeDocument/2006/relationships/hyperlink" Target="https://www.amarujala.com/uttar-pradesh/sonbhadra" TargetMode="External"/><Relationship Id="rId261" Type="http://schemas.openxmlformats.org/officeDocument/2006/relationships/hyperlink" Target="https://feed.livehindustan.com/rss/1237918" TargetMode="External"/><Relationship Id="rId382" Type="http://schemas.openxmlformats.org/officeDocument/2006/relationships/hyperlink" Target="https://www.patrika.com/gorakhpur-news" TargetMode="External"/><Relationship Id="rId5" Type="http://schemas.openxmlformats.org/officeDocument/2006/relationships/hyperlink" Target="https://www.amarujala.com/rss/uttar-pradesh.xml" TargetMode="External"/><Relationship Id="rId147" Type="http://schemas.openxmlformats.org/officeDocument/2006/relationships/hyperlink" Target="https://www.amarujala.com/rss/hathras.xml" TargetMode="External"/><Relationship Id="rId268" Type="http://schemas.openxmlformats.org/officeDocument/2006/relationships/hyperlink" Target="https://www.livehindustan.com/uttar-pradesh/kanpur-rural/news" TargetMode="External"/><Relationship Id="rId389" Type="http://schemas.openxmlformats.org/officeDocument/2006/relationships/hyperlink" Target="https://cms.patrika.com/blog/location/jalaun-news/feed/" TargetMode="External"/><Relationship Id="rId6" Type="http://schemas.openxmlformats.org/officeDocument/2006/relationships/hyperlink" Target="https://www.amarujala.com/uttar-pradesh/gorakhpur" TargetMode="External"/><Relationship Id="rId146" Type="http://schemas.openxmlformats.org/officeDocument/2006/relationships/hyperlink" Target="https://www.amarujala.com/uttar-pradesh/hathras" TargetMode="External"/><Relationship Id="rId267" Type="http://schemas.openxmlformats.org/officeDocument/2006/relationships/hyperlink" Target="https://feed.livehindustan.com/rss/1238011" TargetMode="External"/><Relationship Id="rId388" Type="http://schemas.openxmlformats.org/officeDocument/2006/relationships/hyperlink" Target="https://www.patrika.com/jalaun-news" TargetMode="External"/><Relationship Id="rId7" Type="http://schemas.openxmlformats.org/officeDocument/2006/relationships/hyperlink" Target="https://www.amarujala.com/rss/gorakhpur.xml" TargetMode="External"/><Relationship Id="rId145" Type="http://schemas.openxmlformats.org/officeDocument/2006/relationships/hyperlink" Target="https://www.amarujala.com/rss/hardoi.xml" TargetMode="External"/><Relationship Id="rId266" Type="http://schemas.openxmlformats.org/officeDocument/2006/relationships/hyperlink" Target="https://www.livehindustan.com/uttar-pradesh/mahoba/news" TargetMode="External"/><Relationship Id="rId387" Type="http://schemas.openxmlformats.org/officeDocument/2006/relationships/hyperlink" Target="https://cms.patrika.com/blog/location/mahrajganj-news/feed/" TargetMode="External"/><Relationship Id="rId8" Type="http://schemas.openxmlformats.org/officeDocument/2006/relationships/hyperlink" Target="https://www.amarujala.com/uttar-pradesh/lucknow" TargetMode="External"/><Relationship Id="rId144" Type="http://schemas.openxmlformats.org/officeDocument/2006/relationships/hyperlink" Target="https://www.amarujala.com/uttar-pradesh/hardoi" TargetMode="External"/><Relationship Id="rId265" Type="http://schemas.openxmlformats.org/officeDocument/2006/relationships/hyperlink" Target="https://feed.livehindustan.com/rss/1238008" TargetMode="External"/><Relationship Id="rId386" Type="http://schemas.openxmlformats.org/officeDocument/2006/relationships/hyperlink" Target="https://www.patrika.com/mahrajganj-news" TargetMode="External"/><Relationship Id="rId260" Type="http://schemas.openxmlformats.org/officeDocument/2006/relationships/hyperlink" Target="https://www.livehindustan.com/uttar-pradesh/akbarpur/news" TargetMode="External"/><Relationship Id="rId381" Type="http://schemas.openxmlformats.org/officeDocument/2006/relationships/hyperlink" Target="https://cms.patrika.com/blog/location/deoria-news/feed/" TargetMode="External"/><Relationship Id="rId380" Type="http://schemas.openxmlformats.org/officeDocument/2006/relationships/hyperlink" Target="https://www.patrika.com/deoria-news" TargetMode="External"/><Relationship Id="rId139" Type="http://schemas.openxmlformats.org/officeDocument/2006/relationships/hyperlink" Target="https://www.amarujala.com/rss/sultanpur.xml" TargetMode="External"/><Relationship Id="rId138" Type="http://schemas.openxmlformats.org/officeDocument/2006/relationships/hyperlink" Target="https://www.amarujala.com/uttar-pradesh/sultanpur" TargetMode="External"/><Relationship Id="rId259" Type="http://schemas.openxmlformats.org/officeDocument/2006/relationships/hyperlink" Target="https://feed.livehindustan.com/rss/5078" TargetMode="External"/><Relationship Id="rId137" Type="http://schemas.openxmlformats.org/officeDocument/2006/relationships/hyperlink" Target="https://www.amarujala.com/rss/sitapur.xml" TargetMode="External"/><Relationship Id="rId258" Type="http://schemas.openxmlformats.org/officeDocument/2006/relationships/hyperlink" Target="https://www.livehindustan.com/uttar-pradesh/auraiya/news" TargetMode="External"/><Relationship Id="rId379" Type="http://schemas.openxmlformats.org/officeDocument/2006/relationships/hyperlink" Target="https://cms.patrika.com/blog/location/sultanpur-news/feed/" TargetMode="External"/><Relationship Id="rId132" Type="http://schemas.openxmlformats.org/officeDocument/2006/relationships/hyperlink" Target="https://www.amarujala.com/uttar-pradesh/saharanpur" TargetMode="External"/><Relationship Id="rId253" Type="http://schemas.openxmlformats.org/officeDocument/2006/relationships/hyperlink" Target="https://feed.livehindustan.com/rss/896272" TargetMode="External"/><Relationship Id="rId374" Type="http://schemas.openxmlformats.org/officeDocument/2006/relationships/hyperlink" Target="https://www.patrika.com/barabanki-news" TargetMode="External"/><Relationship Id="rId495" Type="http://schemas.openxmlformats.org/officeDocument/2006/relationships/hyperlink" Target="https://navbharattimes.indiatimes.com/state/uttar-pradesh/fatehpur/articlelist/92989835.cms" TargetMode="External"/><Relationship Id="rId131" Type="http://schemas.openxmlformats.org/officeDocument/2006/relationships/hyperlink" Target="https://www.amarujala.com/rss/sambhal.xml" TargetMode="External"/><Relationship Id="rId252" Type="http://schemas.openxmlformats.org/officeDocument/2006/relationships/hyperlink" Target="https://www.livehindustan.com/uttar-pradesh/fatehpur/news" TargetMode="External"/><Relationship Id="rId373" Type="http://schemas.openxmlformats.org/officeDocument/2006/relationships/hyperlink" Target="https://cms.patrika.com/blog/location/ayodhya-news/feed/" TargetMode="External"/><Relationship Id="rId494" Type="http://schemas.openxmlformats.org/officeDocument/2006/relationships/hyperlink" Target="https://navbharattimes.indiatimes.com/state/uttar-pradesh/farrukhabad/articlelist/92989831.cms" TargetMode="External"/><Relationship Id="rId130" Type="http://schemas.openxmlformats.org/officeDocument/2006/relationships/hyperlink" Target="https://www.amarujala.com/uttar-pradesh/sambhal" TargetMode="External"/><Relationship Id="rId251" Type="http://schemas.openxmlformats.org/officeDocument/2006/relationships/hyperlink" Target="https://feed.livehindustan.com/rss/5075" TargetMode="External"/><Relationship Id="rId372" Type="http://schemas.openxmlformats.org/officeDocument/2006/relationships/hyperlink" Target="https://www.patrika.com/ayodhya-news" TargetMode="External"/><Relationship Id="rId493" Type="http://schemas.openxmlformats.org/officeDocument/2006/relationships/hyperlink" Target="https://navbharattimes.indiatimes.com/state/uttar-pradesh/etawah/articlelist/92989625.cms" TargetMode="External"/><Relationship Id="rId250" Type="http://schemas.openxmlformats.org/officeDocument/2006/relationships/hyperlink" Target="https://www.livehindustan.com/uttar-pradesh/raebareli/news" TargetMode="External"/><Relationship Id="rId371" Type="http://schemas.openxmlformats.org/officeDocument/2006/relationships/hyperlink" Target="https://cms.patrika.com/blog/location/amethi-news/feed/" TargetMode="External"/><Relationship Id="rId492" Type="http://schemas.openxmlformats.org/officeDocument/2006/relationships/hyperlink" Target="https://navbharattimes.indiatimes.com/state/uttar-pradesh/etah/articlelist/92989670.cms" TargetMode="External"/><Relationship Id="rId136" Type="http://schemas.openxmlformats.org/officeDocument/2006/relationships/hyperlink" Target="https://www.amarujala.com/uttar-pradesh/sitapur" TargetMode="External"/><Relationship Id="rId257" Type="http://schemas.openxmlformats.org/officeDocument/2006/relationships/hyperlink" Target="https://feed.livehindustan.com/rss/5077" TargetMode="External"/><Relationship Id="rId378" Type="http://schemas.openxmlformats.org/officeDocument/2006/relationships/hyperlink" Target="https://www.patrika.com/sultanpur-news" TargetMode="External"/><Relationship Id="rId499" Type="http://schemas.openxmlformats.org/officeDocument/2006/relationships/hyperlink" Target="https://navbharattimes.indiatimes.com/state/uttar-pradesh/hamirpur/articlelist/92989708.cms" TargetMode="External"/><Relationship Id="rId135" Type="http://schemas.openxmlformats.org/officeDocument/2006/relationships/hyperlink" Target="https://www.amarujala.com/rss/siddharthnagar.xml" TargetMode="External"/><Relationship Id="rId256" Type="http://schemas.openxmlformats.org/officeDocument/2006/relationships/hyperlink" Target="https://www.livehindustan.com/uttar-pradesh/sultanpur/news" TargetMode="External"/><Relationship Id="rId377" Type="http://schemas.openxmlformats.org/officeDocument/2006/relationships/hyperlink" Target="https://cms.patrika.com/blog/location/faizabad-news/feed/" TargetMode="External"/><Relationship Id="rId498" Type="http://schemas.openxmlformats.org/officeDocument/2006/relationships/hyperlink" Target="https://navbharattimes.indiatimes.com/state/uttar-pradesh/gonda/articlelist/92989542.cms" TargetMode="External"/><Relationship Id="rId134" Type="http://schemas.openxmlformats.org/officeDocument/2006/relationships/hyperlink" Target="https://www.amarujala.com/uttar-pradesh/siddharthnagar" TargetMode="External"/><Relationship Id="rId255" Type="http://schemas.openxmlformats.org/officeDocument/2006/relationships/hyperlink" Target="https://feed.livehindustan.com/rss/5076" TargetMode="External"/><Relationship Id="rId376" Type="http://schemas.openxmlformats.org/officeDocument/2006/relationships/hyperlink" Target="https://www.patrika.com/faizabad-news" TargetMode="External"/><Relationship Id="rId497" Type="http://schemas.openxmlformats.org/officeDocument/2006/relationships/hyperlink" Target="https://navbharattimes.indiatimes.com/state/uttar-pradesh/ghazipur/articlelist/92989634.cms" TargetMode="External"/><Relationship Id="rId133" Type="http://schemas.openxmlformats.org/officeDocument/2006/relationships/hyperlink" Target="https://www.amarujala.com/rss/saharanpur.xml" TargetMode="External"/><Relationship Id="rId254" Type="http://schemas.openxmlformats.org/officeDocument/2006/relationships/hyperlink" Target="https://www.livehindustan.com/uttar-pradesh/sitapur/news" TargetMode="External"/><Relationship Id="rId375" Type="http://schemas.openxmlformats.org/officeDocument/2006/relationships/hyperlink" Target="https://cms.patrika.com/blog/location/barabanki-news/feed/" TargetMode="External"/><Relationship Id="rId496" Type="http://schemas.openxmlformats.org/officeDocument/2006/relationships/hyperlink" Target="https://navbharattimes.indiatimes.com/state/uttar-pradesh/firozabad/articlelist/92989817.cms" TargetMode="External"/><Relationship Id="rId172" Type="http://schemas.openxmlformats.org/officeDocument/2006/relationships/hyperlink" Target="https://www.livehindustan.com/uttar-pradesh/barabanki/news" TargetMode="External"/><Relationship Id="rId293" Type="http://schemas.openxmlformats.org/officeDocument/2006/relationships/hyperlink" Target="https://feed.livehindustan.com/rss/5090" TargetMode="External"/><Relationship Id="rId171" Type="http://schemas.openxmlformats.org/officeDocument/2006/relationships/hyperlink" Target="https://feed.livehindustan.com/rss/5034" TargetMode="External"/><Relationship Id="rId292" Type="http://schemas.openxmlformats.org/officeDocument/2006/relationships/hyperlink" Target="https://www.livehindustan.com/uttar-pradesh/amroha/news" TargetMode="External"/><Relationship Id="rId170" Type="http://schemas.openxmlformats.org/officeDocument/2006/relationships/hyperlink" Target="https://www.livehindustan.com/uttar-pradesh/kanpur/news" TargetMode="External"/><Relationship Id="rId291" Type="http://schemas.openxmlformats.org/officeDocument/2006/relationships/hyperlink" Target="https://feed.livehindustan.com/rss/5088" TargetMode="External"/><Relationship Id="rId290" Type="http://schemas.openxmlformats.org/officeDocument/2006/relationships/hyperlink" Target="https://www.livehindustan.com/uttar-pradesh/hathras/news" TargetMode="External"/><Relationship Id="rId165" Type="http://schemas.openxmlformats.org/officeDocument/2006/relationships/hyperlink" Target="https://feed.livehindustan.com/rss/5035" TargetMode="External"/><Relationship Id="rId286" Type="http://schemas.openxmlformats.org/officeDocument/2006/relationships/hyperlink" Target="https://www.livehindustan.com/uttar-pradesh/orai/news" TargetMode="External"/><Relationship Id="rId164" Type="http://schemas.openxmlformats.org/officeDocument/2006/relationships/hyperlink" Target="https://www.livehindustan.com/uttar-pradesh/aligarh/news" TargetMode="External"/><Relationship Id="rId285" Type="http://schemas.openxmlformats.org/officeDocument/2006/relationships/hyperlink" Target="https://feed.livehindustan.com/rss/5084" TargetMode="External"/><Relationship Id="rId163" Type="http://schemas.openxmlformats.org/officeDocument/2006/relationships/hyperlink" Target="https://feed.livehindustan.com/rss/5033" TargetMode="External"/><Relationship Id="rId284" Type="http://schemas.openxmlformats.org/officeDocument/2006/relationships/hyperlink" Target="https://www.livehindustan.com/uttar-pradesh/jhansi/news" TargetMode="External"/><Relationship Id="rId162" Type="http://schemas.openxmlformats.org/officeDocument/2006/relationships/hyperlink" Target="https://www.livehindustan.com/uttar-pradesh/agra/news" TargetMode="External"/><Relationship Id="rId283" Type="http://schemas.openxmlformats.org/officeDocument/2006/relationships/hyperlink" Target="https://feed.livehindustan.com/rss/5083" TargetMode="External"/><Relationship Id="rId169" Type="http://schemas.openxmlformats.org/officeDocument/2006/relationships/hyperlink" Target="https://feed.livehindustan.com/rss/5030" TargetMode="External"/><Relationship Id="rId168" Type="http://schemas.openxmlformats.org/officeDocument/2006/relationships/hyperlink" Target="https://www.livehindustan.com/uttar-pradesh/gorakhpur/news" TargetMode="External"/><Relationship Id="rId289" Type="http://schemas.openxmlformats.org/officeDocument/2006/relationships/hyperlink" Target="https://feed.livehindustan.com/rss/5087" TargetMode="External"/><Relationship Id="rId167" Type="http://schemas.openxmlformats.org/officeDocument/2006/relationships/hyperlink" Target="https://feed.livehindustan.com/rss/11373" TargetMode="External"/><Relationship Id="rId288" Type="http://schemas.openxmlformats.org/officeDocument/2006/relationships/hyperlink" Target="https://www.livehindustan.com/uttar-pradesh/unnao/news" TargetMode="External"/><Relationship Id="rId166" Type="http://schemas.openxmlformats.org/officeDocument/2006/relationships/hyperlink" Target="https://www.livehindustan.com/uttar-pradesh/prayagraj/news" TargetMode="External"/><Relationship Id="rId287" Type="http://schemas.openxmlformats.org/officeDocument/2006/relationships/hyperlink" Target="https://feed.livehindustan.com/rss/5085" TargetMode="External"/><Relationship Id="rId161" Type="http://schemas.openxmlformats.org/officeDocument/2006/relationships/hyperlink" Target="https://feed.livehindustan.com/rss/5031" TargetMode="External"/><Relationship Id="rId282" Type="http://schemas.openxmlformats.org/officeDocument/2006/relationships/hyperlink" Target="https://www.livehindustan.com/uttar-pradesh/hardoi/news" TargetMode="External"/><Relationship Id="rId160" Type="http://schemas.openxmlformats.org/officeDocument/2006/relationships/hyperlink" Target="https://www.livehindustan.com/uttar-pradesh/meerut/news" TargetMode="External"/><Relationship Id="rId281" Type="http://schemas.openxmlformats.org/officeDocument/2006/relationships/hyperlink" Target="https://feed.livehindustan.com/rss/5082" TargetMode="External"/><Relationship Id="rId280" Type="http://schemas.openxmlformats.org/officeDocument/2006/relationships/hyperlink" Target="https://www.livehindustan.com/uttar-pradesh/hamirpur/news" TargetMode="External"/><Relationship Id="rId159" Type="http://schemas.openxmlformats.org/officeDocument/2006/relationships/hyperlink" Target="https://feed.livehindustan.com/rss/5036" TargetMode="External"/><Relationship Id="rId154" Type="http://schemas.openxmlformats.org/officeDocument/2006/relationships/hyperlink" Target="https://www.livehindustan.com/uttar-pradesh/varanasi/news" TargetMode="External"/><Relationship Id="rId275" Type="http://schemas.openxmlformats.org/officeDocument/2006/relationships/hyperlink" Target="https://feed.livehindustan.com/rss/5080" TargetMode="External"/><Relationship Id="rId396" Type="http://schemas.openxmlformats.org/officeDocument/2006/relationships/hyperlink" Target="https://www.patrika.com/farrukhabad-news" TargetMode="External"/><Relationship Id="rId153" Type="http://schemas.openxmlformats.org/officeDocument/2006/relationships/hyperlink" Target="https://feed.livehindustan.com/rss/5028" TargetMode="External"/><Relationship Id="rId274" Type="http://schemas.openxmlformats.org/officeDocument/2006/relationships/hyperlink" Target="https://www.livehindustan.com/uttar-pradesh/etawah/news" TargetMode="External"/><Relationship Id="rId395" Type="http://schemas.openxmlformats.org/officeDocument/2006/relationships/hyperlink" Target="https://cms.patrika.com/blog/location/auraiya-news/feed/" TargetMode="External"/><Relationship Id="rId152" Type="http://schemas.openxmlformats.org/officeDocument/2006/relationships/hyperlink" Target="https://www.livehindustan.com/uttar-pradesh/lucknow/news" TargetMode="External"/><Relationship Id="rId273" Type="http://schemas.openxmlformats.org/officeDocument/2006/relationships/hyperlink" Target="https://feed.livehindustan.com/rss/5079" TargetMode="External"/><Relationship Id="rId394" Type="http://schemas.openxmlformats.org/officeDocument/2006/relationships/hyperlink" Target="https://www.patrika.com/auraiya-news" TargetMode="External"/><Relationship Id="rId151" Type="http://schemas.openxmlformats.org/officeDocument/2006/relationships/hyperlink" Target="https://feed.livehindustan.com/rss/5026" TargetMode="External"/><Relationship Id="rId272" Type="http://schemas.openxmlformats.org/officeDocument/2006/relationships/hyperlink" Target="https://www.livehindustan.com/uttar-pradesh/banda/news" TargetMode="External"/><Relationship Id="rId393" Type="http://schemas.openxmlformats.org/officeDocument/2006/relationships/hyperlink" Target="https://cms.patrika.com/blog/location/lalitpur-news/feed/" TargetMode="External"/><Relationship Id="rId158" Type="http://schemas.openxmlformats.org/officeDocument/2006/relationships/hyperlink" Target="https://www.livehindustan.com/uttar-pradesh/moradabad/news" TargetMode="External"/><Relationship Id="rId279" Type="http://schemas.openxmlformats.org/officeDocument/2006/relationships/hyperlink" Target="https://feed.livehindustan.com/rss/896320" TargetMode="External"/><Relationship Id="rId157" Type="http://schemas.openxmlformats.org/officeDocument/2006/relationships/hyperlink" Target="https://feed.livehindustan.com/rss/5032" TargetMode="External"/><Relationship Id="rId278" Type="http://schemas.openxmlformats.org/officeDocument/2006/relationships/hyperlink" Target="https://www.livehindustan.com/uttar-pradesh/kannauj/news" TargetMode="External"/><Relationship Id="rId399" Type="http://schemas.openxmlformats.org/officeDocument/2006/relationships/hyperlink" Target="https://cms.patrika.com/blog/location/kannauj-news/feed/" TargetMode="External"/><Relationship Id="rId156" Type="http://schemas.openxmlformats.org/officeDocument/2006/relationships/hyperlink" Target="https://www.livehindustan.com/uttar-pradesh/bareilly/news" TargetMode="External"/><Relationship Id="rId277" Type="http://schemas.openxmlformats.org/officeDocument/2006/relationships/hyperlink" Target="https://feed.livehindustan.com/rss/5081" TargetMode="External"/><Relationship Id="rId398" Type="http://schemas.openxmlformats.org/officeDocument/2006/relationships/hyperlink" Target="https://www.patrika.com/kannauj-news" TargetMode="External"/><Relationship Id="rId155" Type="http://schemas.openxmlformats.org/officeDocument/2006/relationships/hyperlink" Target="https://feed.livehindustan.com/rss/5029" TargetMode="External"/><Relationship Id="rId276" Type="http://schemas.openxmlformats.org/officeDocument/2006/relationships/hyperlink" Target="https://www.livehindustan.com/uttar-pradesh/farrukhabad/news" TargetMode="External"/><Relationship Id="rId397" Type="http://schemas.openxmlformats.org/officeDocument/2006/relationships/hyperlink" Target="https://cms.patrika.com/blog/location/farrukhabad-news/feed/" TargetMode="External"/><Relationship Id="rId40" Type="http://schemas.openxmlformats.org/officeDocument/2006/relationships/hyperlink" Target="https://www.amarujala.com/uttar-pradesh/ghazipur" TargetMode="External"/><Relationship Id="rId42" Type="http://schemas.openxmlformats.org/officeDocument/2006/relationships/hyperlink" Target="https://www.amarujala.com/uttar-pradesh/gonda" TargetMode="External"/><Relationship Id="rId41" Type="http://schemas.openxmlformats.org/officeDocument/2006/relationships/hyperlink" Target="https://www.amarujala.com/rss/ghazipur.xml" TargetMode="External"/><Relationship Id="rId44" Type="http://schemas.openxmlformats.org/officeDocument/2006/relationships/hyperlink" Target="https://www.amarujala.com/uttar-pradesh/ghatampur" TargetMode="External"/><Relationship Id="rId43" Type="http://schemas.openxmlformats.org/officeDocument/2006/relationships/hyperlink" Target="https://www.amarujala.com/rss/gonda.xml" TargetMode="External"/><Relationship Id="rId46" Type="http://schemas.openxmlformats.org/officeDocument/2006/relationships/hyperlink" Target="https://www.amarujala.com/uttar-pradesh/chandauli" TargetMode="External"/><Relationship Id="rId45" Type="http://schemas.openxmlformats.org/officeDocument/2006/relationships/hyperlink" Target="https://www.amarujala.com/rss/ghatampur.xml" TargetMode="External"/><Relationship Id="rId509" Type="http://schemas.openxmlformats.org/officeDocument/2006/relationships/hyperlink" Target="https://navbharattimes.indiatimes.com/state/uttar-pradesh/kushinagar/articlelist/92989608.cms" TargetMode="External"/><Relationship Id="rId508" Type="http://schemas.openxmlformats.org/officeDocument/2006/relationships/hyperlink" Target="https://navbharattimes.indiatimes.com/state/uttar-pradesh/kaushambi/articlelist/92989659.cms" TargetMode="External"/><Relationship Id="rId503" Type="http://schemas.openxmlformats.org/officeDocument/2006/relationships/hyperlink" Target="https://navbharattimes.indiatimes.com/state/uttar-pradesh/jaunpur/articlelist/92989849.cms" TargetMode="External"/><Relationship Id="rId502" Type="http://schemas.openxmlformats.org/officeDocument/2006/relationships/hyperlink" Target="https://navbharattimes.indiatimes.com/state/uttar-pradesh/hathras/articlelist/92989679.cms" TargetMode="External"/><Relationship Id="rId501" Type="http://schemas.openxmlformats.org/officeDocument/2006/relationships/hyperlink" Target="https://navbharattimes.indiatimes.com/state/uttar-pradesh/hardoi/articlelist/92989699.cms" TargetMode="External"/><Relationship Id="rId500" Type="http://schemas.openxmlformats.org/officeDocument/2006/relationships/hyperlink" Target="https://navbharattimes.indiatimes.com/state/uttar-pradesh/hapur/articlelist/92989677.cms" TargetMode="External"/><Relationship Id="rId507" Type="http://schemas.openxmlformats.org/officeDocument/2006/relationships/hyperlink" Target="https://navbharattimes.indiatimes.com/state/uttar-pradesh/kasganj/articlelist/92989668.cms" TargetMode="External"/><Relationship Id="rId506" Type="http://schemas.openxmlformats.org/officeDocument/2006/relationships/hyperlink" Target="https://navbharattimes.indiatimes.com/state/uttar-pradesh/kanpur/articlelist/5194950.cms" TargetMode="External"/><Relationship Id="rId505" Type="http://schemas.openxmlformats.org/officeDocument/2006/relationships/hyperlink" Target="https://navbharattimes.indiatimes.com/state/uttar-pradesh/kannauj/articlelist/92989629.cms" TargetMode="External"/><Relationship Id="rId504" Type="http://schemas.openxmlformats.org/officeDocument/2006/relationships/hyperlink" Target="https://navbharattimes.indiatimes.com/state/uttar-pradesh/jhansi/articlelist/92989606.cms" TargetMode="External"/><Relationship Id="rId48" Type="http://schemas.openxmlformats.org/officeDocument/2006/relationships/hyperlink" Target="https://www.amarujala.com/uttar-pradesh/chitrakoot" TargetMode="External"/><Relationship Id="rId47" Type="http://schemas.openxmlformats.org/officeDocument/2006/relationships/hyperlink" Target="https://www.amarujala.com/rss/chandauli.xml" TargetMode="External"/><Relationship Id="rId49" Type="http://schemas.openxmlformats.org/officeDocument/2006/relationships/hyperlink" Target="https://www.amarujala.com/rss/chitrakoot.xml" TargetMode="External"/><Relationship Id="rId31" Type="http://schemas.openxmlformats.org/officeDocument/2006/relationships/hyperlink" Target="https://www.amarujala.com/rss/auraiya.xml" TargetMode="External"/><Relationship Id="rId30" Type="http://schemas.openxmlformats.org/officeDocument/2006/relationships/hyperlink" Target="https://www.amarujala.com/uttar-pradesh/auraiya" TargetMode="External"/><Relationship Id="rId33" Type="http://schemas.openxmlformats.org/officeDocument/2006/relationships/hyperlink" Target="https://www.amarujala.com/rss/kannauj.xml" TargetMode="External"/><Relationship Id="rId32" Type="http://schemas.openxmlformats.org/officeDocument/2006/relationships/hyperlink" Target="https://www.amarujala.com/uttar-pradesh/kannauj" TargetMode="External"/><Relationship Id="rId35" Type="http://schemas.openxmlformats.org/officeDocument/2006/relationships/hyperlink" Target="https://www.amarujala.com/rss/kanpur.xml" TargetMode="External"/><Relationship Id="rId34" Type="http://schemas.openxmlformats.org/officeDocument/2006/relationships/hyperlink" Target="https://www.amarujala.com/uttar-pradesh/kanpur" TargetMode="External"/><Relationship Id="rId37" Type="http://schemas.openxmlformats.org/officeDocument/2006/relationships/hyperlink" Target="https://www.amarujala.com/rss/kushinagar.xml" TargetMode="External"/><Relationship Id="rId36" Type="http://schemas.openxmlformats.org/officeDocument/2006/relationships/hyperlink" Target="https://www.amarujala.com/uttar-pradesh/kushinagar" TargetMode="External"/><Relationship Id="rId39" Type="http://schemas.openxmlformats.org/officeDocument/2006/relationships/hyperlink" Target="https://www.amarujala.com/rss/kaushambi.xml" TargetMode="External"/><Relationship Id="rId38" Type="http://schemas.openxmlformats.org/officeDocument/2006/relationships/hyperlink" Target="https://www.amarujala.com/uttar-pradesh/kaushambi" TargetMode="External"/><Relationship Id="rId20" Type="http://schemas.openxmlformats.org/officeDocument/2006/relationships/hyperlink" Target="https://www.amarujala.com/uttar-pradesh/agra" TargetMode="External"/><Relationship Id="rId22" Type="http://schemas.openxmlformats.org/officeDocument/2006/relationships/hyperlink" Target="https://www.amarujala.com/uttar-pradesh/azamgarh" TargetMode="External"/><Relationship Id="rId21" Type="http://schemas.openxmlformats.org/officeDocument/2006/relationships/hyperlink" Target="https://www.amarujala.com/rss/agra.xml" TargetMode="External"/><Relationship Id="rId24" Type="http://schemas.openxmlformats.org/officeDocument/2006/relationships/hyperlink" Target="https://www.amarujala.com/uttar-pradesh/etawah" TargetMode="External"/><Relationship Id="rId23" Type="http://schemas.openxmlformats.org/officeDocument/2006/relationships/hyperlink" Target="https://www.amarujala.com/rss/azamgarh.xml" TargetMode="External"/><Relationship Id="rId409" Type="http://schemas.openxmlformats.org/officeDocument/2006/relationships/hyperlink" Target="https://cms.patrika.com/blog/location/raebareli-news/feed/" TargetMode="External"/><Relationship Id="rId404" Type="http://schemas.openxmlformats.org/officeDocument/2006/relationships/hyperlink" Target="https://www.patrika.com/lakhimpur-kheri-news" TargetMode="External"/><Relationship Id="rId525" Type="http://schemas.openxmlformats.org/officeDocument/2006/relationships/hyperlink" Target="https://navbharattimes.indiatimes.com/state/uttar-pradesh/sambhal/articlelist/92989724.cms" TargetMode="External"/><Relationship Id="rId403" Type="http://schemas.openxmlformats.org/officeDocument/2006/relationships/hyperlink" Target="https://cms.patrika.com/blog/location/hardoi-news/feed/" TargetMode="External"/><Relationship Id="rId524" Type="http://schemas.openxmlformats.org/officeDocument/2006/relationships/hyperlink" Target="https://navbharattimes.indiatimes.com/state/uttar-pradesh/saharanpur/articlelist/19928210.cms" TargetMode="External"/><Relationship Id="rId402" Type="http://schemas.openxmlformats.org/officeDocument/2006/relationships/hyperlink" Target="https://www.patrika.com/hardoi-news" TargetMode="External"/><Relationship Id="rId523" Type="http://schemas.openxmlformats.org/officeDocument/2006/relationships/hyperlink" Target="https://navbharattimes.indiatimes.com/state/uttar-pradesh/rampur/articlelist/92989754.cms" TargetMode="External"/><Relationship Id="rId401" Type="http://schemas.openxmlformats.org/officeDocument/2006/relationships/hyperlink" Target="https://cms.patrika.com/blog/location/kanpur-news/feed/" TargetMode="External"/><Relationship Id="rId522" Type="http://schemas.openxmlformats.org/officeDocument/2006/relationships/hyperlink" Target="https://navbharattimes.indiatimes.com/state/uttar-pradesh/raebareli/articlelist/75575044.cms" TargetMode="External"/><Relationship Id="rId408" Type="http://schemas.openxmlformats.org/officeDocument/2006/relationships/hyperlink" Target="https://www.patrika.com/raebareli-news" TargetMode="External"/><Relationship Id="rId529" Type="http://schemas.openxmlformats.org/officeDocument/2006/relationships/hyperlink" Target="https://navbharattimes.indiatimes.com/state/uttar-pradesh/shravasti/articlelist/92989746.cms" TargetMode="External"/><Relationship Id="rId407" Type="http://schemas.openxmlformats.org/officeDocument/2006/relationships/hyperlink" Target="https://cms.patrika.com/blog/location/lucknow-news/feed/" TargetMode="External"/><Relationship Id="rId528" Type="http://schemas.openxmlformats.org/officeDocument/2006/relationships/hyperlink" Target="https://navbharattimes.indiatimes.com/state/uttar-pradesh/shamli/articlelist/92989748.cms" TargetMode="External"/><Relationship Id="rId406" Type="http://schemas.openxmlformats.org/officeDocument/2006/relationships/hyperlink" Target="https://www.patrika.com/lucknow-news" TargetMode="External"/><Relationship Id="rId527" Type="http://schemas.openxmlformats.org/officeDocument/2006/relationships/hyperlink" Target="https://navbharattimes.indiatimes.com/state/uttar-pradesh/shahjahanpur/articlelist/75575131.cms" TargetMode="External"/><Relationship Id="rId405" Type="http://schemas.openxmlformats.org/officeDocument/2006/relationships/hyperlink" Target="https://cms.patrika.com/blog/location/lakhimpur-kheri-news/feed/" TargetMode="External"/><Relationship Id="rId526" Type="http://schemas.openxmlformats.org/officeDocument/2006/relationships/hyperlink" Target="https://navbharattimes.indiatimes.com/state/uttar-pradesh/sant-kabir-nagar/articlelist/92989739.cms" TargetMode="External"/><Relationship Id="rId26" Type="http://schemas.openxmlformats.org/officeDocument/2006/relationships/hyperlink" Target="https://www.amarujala.com/uttar-pradesh/unnao" TargetMode="External"/><Relationship Id="rId25" Type="http://schemas.openxmlformats.org/officeDocument/2006/relationships/hyperlink" Target="https://www.amarujala.com/rss/etawah.xml" TargetMode="External"/><Relationship Id="rId28" Type="http://schemas.openxmlformats.org/officeDocument/2006/relationships/hyperlink" Target="https://www.amarujala.com/uttar-pradesh/etah" TargetMode="External"/><Relationship Id="rId27" Type="http://schemas.openxmlformats.org/officeDocument/2006/relationships/hyperlink" Target="https://www.amarujala.com/rss/unnao.xml" TargetMode="External"/><Relationship Id="rId400" Type="http://schemas.openxmlformats.org/officeDocument/2006/relationships/hyperlink" Target="https://www.patrika.com/kanpur-news" TargetMode="External"/><Relationship Id="rId521" Type="http://schemas.openxmlformats.org/officeDocument/2006/relationships/hyperlink" Target="https://navbharattimes.indiatimes.com/state/uttar-pradesh/pratapgarh/articlelist/92989839.cms" TargetMode="External"/><Relationship Id="rId29" Type="http://schemas.openxmlformats.org/officeDocument/2006/relationships/hyperlink" Target="https://www.amarujala.com/rss/etah.xml" TargetMode="External"/><Relationship Id="rId520" Type="http://schemas.openxmlformats.org/officeDocument/2006/relationships/hyperlink" Target="https://navbharattimes.indiatimes.com/state/uttar-pradesh/pilibhit/articlelist/92989841.cms" TargetMode="External"/><Relationship Id="rId11" Type="http://schemas.openxmlformats.org/officeDocument/2006/relationships/hyperlink" Target="https://www.amarujala.com/rss/amroha.xml" TargetMode="External"/><Relationship Id="rId10" Type="http://schemas.openxmlformats.org/officeDocument/2006/relationships/hyperlink" Target="https://www.amarujala.com/uttar-pradesh/amroha" TargetMode="External"/><Relationship Id="rId13" Type="http://schemas.openxmlformats.org/officeDocument/2006/relationships/hyperlink" Target="https://www.amarujala.com/rss/amethi.xml" TargetMode="External"/><Relationship Id="rId12" Type="http://schemas.openxmlformats.org/officeDocument/2006/relationships/hyperlink" Target="https://www.amarujala.com/uttar-pradesh/amethi" TargetMode="External"/><Relationship Id="rId519" Type="http://schemas.openxmlformats.org/officeDocument/2006/relationships/hyperlink" Target="https://navbharattimes.indiatimes.com/state/uttar-pradesh/muzaffarnagar/articlelist/75574943.cms" TargetMode="External"/><Relationship Id="rId514" Type="http://schemas.openxmlformats.org/officeDocument/2006/relationships/hyperlink" Target="https://navbharattimes.indiatimes.com/state/uttar-pradesh/mahoba/articlelist/92989763.cms" TargetMode="External"/><Relationship Id="rId513" Type="http://schemas.openxmlformats.org/officeDocument/2006/relationships/hyperlink" Target="https://navbharattimes.indiatimes.com/state/uttar-pradesh/maharajganj/articlelist/92989765.cms" TargetMode="External"/><Relationship Id="rId512" Type="http://schemas.openxmlformats.org/officeDocument/2006/relationships/hyperlink" Target="https://navbharattimes.indiatimes.com/metro/lucknow/articlelist/21248218.cms" TargetMode="External"/><Relationship Id="rId511" Type="http://schemas.openxmlformats.org/officeDocument/2006/relationships/hyperlink" Target="https://navbharattimes.indiatimes.com/state/uttar-pradesh/lalitpur/articlelist/92989752.cms" TargetMode="External"/><Relationship Id="rId518" Type="http://schemas.openxmlformats.org/officeDocument/2006/relationships/hyperlink" Target="https://navbharattimes.indiatimes.com/state/uttar-pradesh/moradabad/articlelist/75575184.cms" TargetMode="External"/><Relationship Id="rId517" Type="http://schemas.openxmlformats.org/officeDocument/2006/relationships/hyperlink" Target="https://navbharattimes.indiatimes.com/state/uttar-pradesh/mirzapur/articlelist/75575063.cms" TargetMode="External"/><Relationship Id="rId516" Type="http://schemas.openxmlformats.org/officeDocument/2006/relationships/hyperlink" Target="https://navbharattimes.indiatimes.com/state/uttar-pradesh/mau/articlelist/92989767.cms" TargetMode="External"/><Relationship Id="rId515" Type="http://schemas.openxmlformats.org/officeDocument/2006/relationships/hyperlink" Target="https://navbharattimes.indiatimes.com/state/uttar-pradesh/mainpuri/articlelist/92989761.cms" TargetMode="External"/><Relationship Id="rId15" Type="http://schemas.openxmlformats.org/officeDocument/2006/relationships/hyperlink" Target="https://www.amarujala.com/rss/ambedkar-nagar.xml" TargetMode="External"/><Relationship Id="rId14" Type="http://schemas.openxmlformats.org/officeDocument/2006/relationships/hyperlink" Target="https://www.amarujala.com/uttar-pradesh/ambedkar-nagar" TargetMode="External"/><Relationship Id="rId17" Type="http://schemas.openxmlformats.org/officeDocument/2006/relationships/hyperlink" Target="https://www.amarujala.com/rss/faizabad.xml" TargetMode="External"/><Relationship Id="rId16" Type="http://schemas.openxmlformats.org/officeDocument/2006/relationships/hyperlink" Target="https://www.amarujala.com/uttar-pradesh/faizabad" TargetMode="External"/><Relationship Id="rId19" Type="http://schemas.openxmlformats.org/officeDocument/2006/relationships/hyperlink" Target="https://www.amarujala.com/rss/aligarh.xml" TargetMode="External"/><Relationship Id="rId510" Type="http://schemas.openxmlformats.org/officeDocument/2006/relationships/hyperlink" Target="https://navbharattimes.indiatimes.com/state/uttar-pradesh/lakhimpur-kheri/articlelist/92989844.cms" TargetMode="External"/><Relationship Id="rId18" Type="http://schemas.openxmlformats.org/officeDocument/2006/relationships/hyperlink" Target="https://www.amarujala.com/uttar-pradesh/aligarh" TargetMode="External"/><Relationship Id="rId84" Type="http://schemas.openxmlformats.org/officeDocument/2006/relationships/hyperlink" Target="https://www.amarujala.com/uttar-pradesh/baghpat" TargetMode="External"/><Relationship Id="rId83" Type="http://schemas.openxmlformats.org/officeDocument/2006/relationships/hyperlink" Target="https://www.amarujala.com/rss/banda.xml" TargetMode="External"/><Relationship Id="rId86" Type="http://schemas.openxmlformats.org/officeDocument/2006/relationships/hyperlink" Target="https://www.amarujala.com/uttar-pradesh/barabanki" TargetMode="External"/><Relationship Id="rId85" Type="http://schemas.openxmlformats.org/officeDocument/2006/relationships/hyperlink" Target="https://www.amarujala.com/rss/baghpat.xml" TargetMode="External"/><Relationship Id="rId88" Type="http://schemas.openxmlformats.org/officeDocument/2006/relationships/hyperlink" Target="https://www.amarujala.com/uttar-pradesh/bijnor" TargetMode="External"/><Relationship Id="rId87" Type="http://schemas.openxmlformats.org/officeDocument/2006/relationships/hyperlink" Target="https://www.amarujala.com/rss/barabanki.xml" TargetMode="External"/><Relationship Id="rId89" Type="http://schemas.openxmlformats.org/officeDocument/2006/relationships/hyperlink" Target="https://www.amarujala.com/rss/bijnor.xml" TargetMode="External"/><Relationship Id="rId80" Type="http://schemas.openxmlformats.org/officeDocument/2006/relationships/hyperlink" Target="https://www.amarujala.com/uttar-pradesh/bahraich" TargetMode="External"/><Relationship Id="rId82" Type="http://schemas.openxmlformats.org/officeDocument/2006/relationships/hyperlink" Target="https://www.amarujala.com/uttar-pradesh/banda" TargetMode="External"/><Relationship Id="rId81" Type="http://schemas.openxmlformats.org/officeDocument/2006/relationships/hyperlink" Target="https://www.amarujala.com/rss/bahraich.xml" TargetMode="External"/><Relationship Id="rId73" Type="http://schemas.openxmlformats.org/officeDocument/2006/relationships/hyperlink" Target="https://www.amarujala.com/rss/bareilly.xml" TargetMode="External"/><Relationship Id="rId72" Type="http://schemas.openxmlformats.org/officeDocument/2006/relationships/hyperlink" Target="https://www.amarujala.com/uttar-pradesh/bareilly" TargetMode="External"/><Relationship Id="rId75" Type="http://schemas.openxmlformats.org/officeDocument/2006/relationships/hyperlink" Target="https://www.amarujala.com/rss/balrampur.xml" TargetMode="External"/><Relationship Id="rId74" Type="http://schemas.openxmlformats.org/officeDocument/2006/relationships/hyperlink" Target="https://www.amarujala.com/uttar-pradesh/balrampur" TargetMode="External"/><Relationship Id="rId77" Type="http://schemas.openxmlformats.org/officeDocument/2006/relationships/hyperlink" Target="https://www.amarujala.com/rss/ballia.xml" TargetMode="External"/><Relationship Id="rId76" Type="http://schemas.openxmlformats.org/officeDocument/2006/relationships/hyperlink" Target="https://www.amarujala.com/uttar-pradesh/ballia" TargetMode="External"/><Relationship Id="rId79" Type="http://schemas.openxmlformats.org/officeDocument/2006/relationships/hyperlink" Target="https://www.amarujala.com/rss/basti.xml" TargetMode="External"/><Relationship Id="rId78" Type="http://schemas.openxmlformats.org/officeDocument/2006/relationships/hyperlink" Target="https://www.amarujala.com/uttar-pradesh/basti" TargetMode="External"/><Relationship Id="rId71" Type="http://schemas.openxmlformats.org/officeDocument/2006/relationships/hyperlink" Target="https://www.amarujala.com/rss/budaun.xml" TargetMode="External"/><Relationship Id="rId70" Type="http://schemas.openxmlformats.org/officeDocument/2006/relationships/hyperlink" Target="https://www.amarujala.com/uttar-pradesh/budaun" TargetMode="External"/><Relationship Id="rId62" Type="http://schemas.openxmlformats.org/officeDocument/2006/relationships/hyperlink" Target="https://www.amarujala.com/uttar-pradesh/allahabad" TargetMode="External"/><Relationship Id="rId61" Type="http://schemas.openxmlformats.org/officeDocument/2006/relationships/hyperlink" Target="https://www.amarujala.com/rss/pratapgarh.xml" TargetMode="External"/><Relationship Id="rId64" Type="http://schemas.openxmlformats.org/officeDocument/2006/relationships/hyperlink" Target="https://www.amarujala.com/uttar-pradesh/fatehpur" TargetMode="External"/><Relationship Id="rId63" Type="http://schemas.openxmlformats.org/officeDocument/2006/relationships/hyperlink" Target="https://www.amarujala.com/rss/allahabad.xml" TargetMode="External"/><Relationship Id="rId66" Type="http://schemas.openxmlformats.org/officeDocument/2006/relationships/hyperlink" Target="https://www.amarujala.com/uttar-pradesh/farrukhabad" TargetMode="External"/><Relationship Id="rId65" Type="http://schemas.openxmlformats.org/officeDocument/2006/relationships/hyperlink" Target="https://www.amarujala.com/rss/fatehpur.xml" TargetMode="External"/><Relationship Id="rId68" Type="http://schemas.openxmlformats.org/officeDocument/2006/relationships/hyperlink" Target="https://www.amarujala.com/uttar-pradesh/firozabad" TargetMode="External"/><Relationship Id="rId67" Type="http://schemas.openxmlformats.org/officeDocument/2006/relationships/hyperlink" Target="https://www.amarujala.com/rss/farrukhabad.xml" TargetMode="External"/><Relationship Id="rId60" Type="http://schemas.openxmlformats.org/officeDocument/2006/relationships/hyperlink" Target="https://www.amarujala.com/uttar-pradesh/pratapgarh" TargetMode="External"/><Relationship Id="rId69" Type="http://schemas.openxmlformats.org/officeDocument/2006/relationships/hyperlink" Target="https://www.amarujala.com/rss/firozabad.xml" TargetMode="External"/><Relationship Id="rId51" Type="http://schemas.openxmlformats.org/officeDocument/2006/relationships/hyperlink" Target="https://www.amarujala.com/rss/jalaun.xml" TargetMode="External"/><Relationship Id="rId50" Type="http://schemas.openxmlformats.org/officeDocument/2006/relationships/hyperlink" Target="https://www.amarujala.com/uttar-pradesh/jalaun" TargetMode="External"/><Relationship Id="rId53" Type="http://schemas.openxmlformats.org/officeDocument/2006/relationships/hyperlink" Target="https://www.amarujala.com/rss/jaunpur.xml" TargetMode="External"/><Relationship Id="rId52" Type="http://schemas.openxmlformats.org/officeDocument/2006/relationships/hyperlink" Target="https://www.amarujala.com/uttar-pradesh/jaunpur" TargetMode="External"/><Relationship Id="rId55" Type="http://schemas.openxmlformats.org/officeDocument/2006/relationships/hyperlink" Target="https://www.amarujala.com/rss/jhansi.xml" TargetMode="External"/><Relationship Id="rId54" Type="http://schemas.openxmlformats.org/officeDocument/2006/relationships/hyperlink" Target="https://www.amarujala.com/uttar-pradesh/jhansi" TargetMode="External"/><Relationship Id="rId57" Type="http://schemas.openxmlformats.org/officeDocument/2006/relationships/hyperlink" Target="https://www.amarujala.com/rss/deoria.xml" TargetMode="External"/><Relationship Id="rId56" Type="http://schemas.openxmlformats.org/officeDocument/2006/relationships/hyperlink" Target="https://www.amarujala.com/uttar-pradesh/deoria" TargetMode="External"/><Relationship Id="rId59" Type="http://schemas.openxmlformats.org/officeDocument/2006/relationships/hyperlink" Target="https://www.amarujala.com/rss/pilibhit.xml" TargetMode="External"/><Relationship Id="rId58" Type="http://schemas.openxmlformats.org/officeDocument/2006/relationships/hyperlink" Target="https://www.amarujala.com/uttar-pradesh/pilibhit" TargetMode="External"/><Relationship Id="rId107" Type="http://schemas.openxmlformats.org/officeDocument/2006/relationships/hyperlink" Target="https://www.amarujala.com/rss/moradabad.xml" TargetMode="External"/><Relationship Id="rId228" Type="http://schemas.openxmlformats.org/officeDocument/2006/relationships/hyperlink" Target="https://www.livehindustan.com/uttar-pradesh/firozabad/news" TargetMode="External"/><Relationship Id="rId349" Type="http://schemas.openxmlformats.org/officeDocument/2006/relationships/hyperlink" Target="https://cms.patrika.com/blog/location/sant-kabir-nagar-news/feed/" TargetMode="External"/><Relationship Id="rId106" Type="http://schemas.openxmlformats.org/officeDocument/2006/relationships/hyperlink" Target="https://www.amarujala.com/uttar-pradesh/moradabad" TargetMode="External"/><Relationship Id="rId227" Type="http://schemas.openxmlformats.org/officeDocument/2006/relationships/hyperlink" Target="https://feed.livehindustan.com/rss/5065" TargetMode="External"/><Relationship Id="rId348" Type="http://schemas.openxmlformats.org/officeDocument/2006/relationships/hyperlink" Target="https://www.patrika.com/sant-kabir-nagar-news" TargetMode="External"/><Relationship Id="rId469" Type="http://schemas.openxmlformats.org/officeDocument/2006/relationships/hyperlink" Target="https://navbharattimes.indiatimes.com/state/uttar-pradesh/moradabad/articlelist/75575184.cms" TargetMode="External"/><Relationship Id="rId105" Type="http://schemas.openxmlformats.org/officeDocument/2006/relationships/hyperlink" Target="https://www.amarujala.com/rss/muzaffarnagar.xml" TargetMode="External"/><Relationship Id="rId226" Type="http://schemas.openxmlformats.org/officeDocument/2006/relationships/hyperlink" Target="https://www.livehindustan.com/uttar-pradesh/etah/news" TargetMode="External"/><Relationship Id="rId347" Type="http://schemas.openxmlformats.org/officeDocument/2006/relationships/hyperlink" Target="https://cms.patrika.com/blog/location/basti-news/feed/" TargetMode="External"/><Relationship Id="rId468" Type="http://schemas.openxmlformats.org/officeDocument/2006/relationships/hyperlink" Target="https://navbharattimes.indiatimes.com/state/uttar-pradesh/bareilly/articlelist/75575203.cms" TargetMode="External"/><Relationship Id="rId104" Type="http://schemas.openxmlformats.org/officeDocument/2006/relationships/hyperlink" Target="https://www.amarujala.com/uttar-pradesh/muzaffarnagar" TargetMode="External"/><Relationship Id="rId225" Type="http://schemas.openxmlformats.org/officeDocument/2006/relationships/hyperlink" Target="https://feed.livehindustan.com/rss/5064" TargetMode="External"/><Relationship Id="rId346" Type="http://schemas.openxmlformats.org/officeDocument/2006/relationships/hyperlink" Target="https://www.patrika.com/basti-news" TargetMode="External"/><Relationship Id="rId467" Type="http://schemas.openxmlformats.org/officeDocument/2006/relationships/hyperlink" Target="https://navbharattimes.indiatimes.com/state/uttar-pradesh/meerut/articlelist/11364157.cms" TargetMode="External"/><Relationship Id="rId109" Type="http://schemas.openxmlformats.org/officeDocument/2006/relationships/hyperlink" Target="https://www.amarujala.com/rss/meerut.xml" TargetMode="External"/><Relationship Id="rId108" Type="http://schemas.openxmlformats.org/officeDocument/2006/relationships/hyperlink" Target="https://www.amarujala.com/uttar-pradesh/meerut" TargetMode="External"/><Relationship Id="rId229" Type="http://schemas.openxmlformats.org/officeDocument/2006/relationships/hyperlink" Target="https://feed.livehindustan.com/rss/5066" TargetMode="External"/><Relationship Id="rId220" Type="http://schemas.openxmlformats.org/officeDocument/2006/relationships/hyperlink" Target="https://www.livehindustan.com/uttar-pradesh/lakhimpur-kheri/news" TargetMode="External"/><Relationship Id="rId341" Type="http://schemas.openxmlformats.org/officeDocument/2006/relationships/hyperlink" Target="https://cms.patrika.com/blog/location/budaun-news/feed/" TargetMode="External"/><Relationship Id="rId462" Type="http://schemas.openxmlformats.org/officeDocument/2006/relationships/hyperlink" Target="https://navbharattimes.indiatimes.com/state/uttar-pradesh/gorakhpur/articlelist/61483701.cms" TargetMode="External"/><Relationship Id="rId340" Type="http://schemas.openxmlformats.org/officeDocument/2006/relationships/hyperlink" Target="https://www.patrika.com/budaun-news" TargetMode="External"/><Relationship Id="rId461" Type="http://schemas.openxmlformats.org/officeDocument/2006/relationships/hyperlink" Target="https://navbharattimes.indiatimes.com/state/uttar-pradesh/ayodhya/articlelist/19987335.cms" TargetMode="External"/><Relationship Id="rId460" Type="http://schemas.openxmlformats.org/officeDocument/2006/relationships/hyperlink" Target="https://navbharattimes.indiatimes.com/state/uttar-pradesh/mathura/articlelist/19928262.cms" TargetMode="External"/><Relationship Id="rId103" Type="http://schemas.openxmlformats.org/officeDocument/2006/relationships/hyperlink" Target="https://www.amarujala.com/rss/mirzapur.xml" TargetMode="External"/><Relationship Id="rId224" Type="http://schemas.openxmlformats.org/officeDocument/2006/relationships/hyperlink" Target="https://www.livehindustan.com/uttar-pradesh/shahjahanpur/news" TargetMode="External"/><Relationship Id="rId345" Type="http://schemas.openxmlformats.org/officeDocument/2006/relationships/hyperlink" Target="https://cms.patrika.com/blog/location/shahjahanpur-news/feed/" TargetMode="External"/><Relationship Id="rId466" Type="http://schemas.openxmlformats.org/officeDocument/2006/relationships/hyperlink" Target="https://navbharattimes.indiatimes.com/state/uttar-pradesh/allahabad/articlelist/5195544.cms" TargetMode="External"/><Relationship Id="rId102" Type="http://schemas.openxmlformats.org/officeDocument/2006/relationships/hyperlink" Target="https://www.amarujala.com/uttar-pradesh/mirzapur" TargetMode="External"/><Relationship Id="rId223" Type="http://schemas.openxmlformats.org/officeDocument/2006/relationships/hyperlink" Target="https://feed.livehindustan.com/rss/5063" TargetMode="External"/><Relationship Id="rId344" Type="http://schemas.openxmlformats.org/officeDocument/2006/relationships/hyperlink" Target="https://www.patrika.com/shahjahanpur-news" TargetMode="External"/><Relationship Id="rId465" Type="http://schemas.openxmlformats.org/officeDocument/2006/relationships/hyperlink" Target="https://navbharattimes.indiatimes.com/state/uttar-pradesh/varanasi/articlelist/61483673.cms" TargetMode="External"/><Relationship Id="rId101" Type="http://schemas.openxmlformats.org/officeDocument/2006/relationships/hyperlink" Target="https://www.amarujala.com/rss/mahoba.xml" TargetMode="External"/><Relationship Id="rId222" Type="http://schemas.openxmlformats.org/officeDocument/2006/relationships/hyperlink" Target="https://www.livehindustan.com/uttar-pradesh/pilibhit/news" TargetMode="External"/><Relationship Id="rId343" Type="http://schemas.openxmlformats.org/officeDocument/2006/relationships/hyperlink" Target="https://cms.patrika.com/blog/location/pilibhit-news/feed/" TargetMode="External"/><Relationship Id="rId464" Type="http://schemas.openxmlformats.org/officeDocument/2006/relationships/hyperlink" Target="https://navbharattimes.indiatimes.com/state/uttar-pradesh/agra/articlelist/61483684.cms" TargetMode="External"/><Relationship Id="rId100" Type="http://schemas.openxmlformats.org/officeDocument/2006/relationships/hyperlink" Target="https://www.amarujala.com/uttar-pradesh/mahoba" TargetMode="External"/><Relationship Id="rId221" Type="http://schemas.openxmlformats.org/officeDocument/2006/relationships/hyperlink" Target="https://feed.livehindustan.com/rss/5062" TargetMode="External"/><Relationship Id="rId342" Type="http://schemas.openxmlformats.org/officeDocument/2006/relationships/hyperlink" Target="https://www.patrika.com/pilibhit-news" TargetMode="External"/><Relationship Id="rId463" Type="http://schemas.openxmlformats.org/officeDocument/2006/relationships/hyperlink" Target="https://navbharattimes.indiatimes.com/state/uttar-pradesh/aligarh/articlelist/75575224.cms" TargetMode="External"/><Relationship Id="rId217" Type="http://schemas.openxmlformats.org/officeDocument/2006/relationships/hyperlink" Target="https://feed.livehindustan.com/rss/5058" TargetMode="External"/><Relationship Id="rId338" Type="http://schemas.openxmlformats.org/officeDocument/2006/relationships/hyperlink" Target="https://www.patrika.com/bareilly-news" TargetMode="External"/><Relationship Id="rId459" Type="http://schemas.openxmlformats.org/officeDocument/2006/relationships/hyperlink" Target="https://navbharattimes.indiatimes.com/state/uttar-pradesh/kanpur/articlelist/5194950.cms" TargetMode="External"/><Relationship Id="rId216" Type="http://schemas.openxmlformats.org/officeDocument/2006/relationships/hyperlink" Target="https://www.livehindustan.com/uttar-pradesh/saharanpur/news" TargetMode="External"/><Relationship Id="rId337" Type="http://schemas.openxmlformats.org/officeDocument/2006/relationships/hyperlink" Target="https://cms.patrika.com/blog/location/mau-news/feed/" TargetMode="External"/><Relationship Id="rId458" Type="http://schemas.openxmlformats.org/officeDocument/2006/relationships/hyperlink" Target="https://navbharattimes.indiatimes.com/state/uttar-pradesh/articlelist/21236867.cms" TargetMode="External"/><Relationship Id="rId215" Type="http://schemas.openxmlformats.org/officeDocument/2006/relationships/hyperlink" Target="https://feed.livehindustan.com/rss/5057" TargetMode="External"/><Relationship Id="rId336" Type="http://schemas.openxmlformats.org/officeDocument/2006/relationships/hyperlink" Target="https://www.patrika.com/mau-news" TargetMode="External"/><Relationship Id="rId457" Type="http://schemas.openxmlformats.org/officeDocument/2006/relationships/hyperlink" Target="https://cms.patrika.com/blog/location/varanasi-news/feed/" TargetMode="External"/><Relationship Id="rId214" Type="http://schemas.openxmlformats.org/officeDocument/2006/relationships/hyperlink" Target="https://www.livehindustan.com/uttar-pradesh/muzaffarnagar/news" TargetMode="External"/><Relationship Id="rId335" Type="http://schemas.openxmlformats.org/officeDocument/2006/relationships/hyperlink" Target="https://cms.patrika.com/blog/location/ballia-news/feed/" TargetMode="External"/><Relationship Id="rId456" Type="http://schemas.openxmlformats.org/officeDocument/2006/relationships/hyperlink" Target="https://www.patrika.com/varanasi-news" TargetMode="External"/><Relationship Id="rId219" Type="http://schemas.openxmlformats.org/officeDocument/2006/relationships/hyperlink" Target="https://feed.livehindustan.com/rss/5061" TargetMode="External"/><Relationship Id="rId218" Type="http://schemas.openxmlformats.org/officeDocument/2006/relationships/hyperlink" Target="https://www.livehindustan.com/uttar-pradesh/badaun/news" TargetMode="External"/><Relationship Id="rId339" Type="http://schemas.openxmlformats.org/officeDocument/2006/relationships/hyperlink" Target="https://cms.patrika.com/blog/location/bareilly-news/feed/" TargetMode="External"/><Relationship Id="rId330" Type="http://schemas.openxmlformats.org/officeDocument/2006/relationships/hyperlink" Target="https://www.patrika.com/pratapgarh-news" TargetMode="External"/><Relationship Id="rId451" Type="http://schemas.openxmlformats.org/officeDocument/2006/relationships/hyperlink" Target="https://cms.patrika.com/blog/location/shamli-news/feed/" TargetMode="External"/><Relationship Id="rId450" Type="http://schemas.openxmlformats.org/officeDocument/2006/relationships/hyperlink" Target="https://www.patrika.com/shamli-news" TargetMode="External"/><Relationship Id="rId213" Type="http://schemas.openxmlformats.org/officeDocument/2006/relationships/hyperlink" Target="https://feed.livehindustan.com/rss/5056" TargetMode="External"/><Relationship Id="rId334" Type="http://schemas.openxmlformats.org/officeDocument/2006/relationships/hyperlink" Target="https://www.patrika.com/ballia-news" TargetMode="External"/><Relationship Id="rId455" Type="http://schemas.openxmlformats.org/officeDocument/2006/relationships/hyperlink" Target="https://cms.patrika.com/blog/location/jaunpur-news/feed/" TargetMode="External"/><Relationship Id="rId212" Type="http://schemas.openxmlformats.org/officeDocument/2006/relationships/hyperlink" Target="https://www.livehindustan.com/uttar-pradesh/hapur/news" TargetMode="External"/><Relationship Id="rId333" Type="http://schemas.openxmlformats.org/officeDocument/2006/relationships/hyperlink" Target="https://cms.patrika.com/blog/location/azamgarh-news/feed/" TargetMode="External"/><Relationship Id="rId454" Type="http://schemas.openxmlformats.org/officeDocument/2006/relationships/hyperlink" Target="https://www.patrika.com/jaunpur-news" TargetMode="External"/><Relationship Id="rId211" Type="http://schemas.openxmlformats.org/officeDocument/2006/relationships/hyperlink" Target="https://feed.livehindustan.com/rss/5054" TargetMode="External"/><Relationship Id="rId332" Type="http://schemas.openxmlformats.org/officeDocument/2006/relationships/hyperlink" Target="https://www.patrika.com/azamgarh-news" TargetMode="External"/><Relationship Id="rId453" Type="http://schemas.openxmlformats.org/officeDocument/2006/relationships/hyperlink" Target="https://cms.patrika.com/blog/location/chandauli-news/feed/" TargetMode="External"/><Relationship Id="rId210" Type="http://schemas.openxmlformats.org/officeDocument/2006/relationships/hyperlink" Target="https://www.livehindustan.com/uttar-pradesh/bulandshahr/news" TargetMode="External"/><Relationship Id="rId331" Type="http://schemas.openxmlformats.org/officeDocument/2006/relationships/hyperlink" Target="https://cms.patrika.com/blog/location/pratapgarh-up-news/feed/" TargetMode="External"/><Relationship Id="rId452" Type="http://schemas.openxmlformats.org/officeDocument/2006/relationships/hyperlink" Target="https://www.patrika.com/chandauli-news" TargetMode="External"/><Relationship Id="rId370" Type="http://schemas.openxmlformats.org/officeDocument/2006/relationships/hyperlink" Target="https://www.patrika.com/amethi-news" TargetMode="External"/><Relationship Id="rId491" Type="http://schemas.openxmlformats.org/officeDocument/2006/relationships/hyperlink" Target="https://navbharattimes.indiatimes.com/state/uttar-pradesh/deoria/articlelist/92989581.cms" TargetMode="External"/><Relationship Id="rId490" Type="http://schemas.openxmlformats.org/officeDocument/2006/relationships/hyperlink" Target="https://navbharattimes.indiatimes.com/state/uttar-pradesh/chitrakoot/articlelist/92989572.cms" TargetMode="External"/><Relationship Id="rId129" Type="http://schemas.openxmlformats.org/officeDocument/2006/relationships/hyperlink" Target="https://www.amarujala.com/rss/sant-kabir-nagar.xml" TargetMode="External"/><Relationship Id="rId128" Type="http://schemas.openxmlformats.org/officeDocument/2006/relationships/hyperlink" Target="https://www.amarujala.com/uttar-pradesh/sant-kabir-nagar" TargetMode="External"/><Relationship Id="rId249" Type="http://schemas.openxmlformats.org/officeDocument/2006/relationships/hyperlink" Target="https://feed.livehindustan.com/rss/5074" TargetMode="External"/><Relationship Id="rId127" Type="http://schemas.openxmlformats.org/officeDocument/2006/relationships/hyperlink" Target="https://www.amarujala.com/rss/shravasti.xml" TargetMode="External"/><Relationship Id="rId248" Type="http://schemas.openxmlformats.org/officeDocument/2006/relationships/hyperlink" Target="https://www.livehindustan.com/uttar-pradesh/gonda/news" TargetMode="External"/><Relationship Id="rId369" Type="http://schemas.openxmlformats.org/officeDocument/2006/relationships/hyperlink" Target="https://cms.patrika.com/blog/location/ambedkar-nagar-news/feed/" TargetMode="External"/><Relationship Id="rId126" Type="http://schemas.openxmlformats.org/officeDocument/2006/relationships/hyperlink" Target="https://www.amarujala.com/uttar-pradesh/shravasti" TargetMode="External"/><Relationship Id="rId247" Type="http://schemas.openxmlformats.org/officeDocument/2006/relationships/hyperlink" Target="https://feed.livehindustan.com/rss/5073" TargetMode="External"/><Relationship Id="rId368" Type="http://schemas.openxmlformats.org/officeDocument/2006/relationships/hyperlink" Target="https://www.patrika.com/ambedkar-nagar-news" TargetMode="External"/><Relationship Id="rId489" Type="http://schemas.openxmlformats.org/officeDocument/2006/relationships/hyperlink" Target="https://navbharattimes.indiatimes.com/state/uttar-pradesh/chandauli/articlelist/92989637.cms" TargetMode="External"/><Relationship Id="rId121" Type="http://schemas.openxmlformats.org/officeDocument/2006/relationships/hyperlink" Target="https://www.amarujala.com/rss/varanasi.xml" TargetMode="External"/><Relationship Id="rId242" Type="http://schemas.openxmlformats.org/officeDocument/2006/relationships/hyperlink" Target="https://www.livehindustan.com/uttar-pradesh/balrampur/news" TargetMode="External"/><Relationship Id="rId363" Type="http://schemas.openxmlformats.org/officeDocument/2006/relationships/hyperlink" Target="https://cms.patrika.com/blog/location/balrampur-up-news/feed/" TargetMode="External"/><Relationship Id="rId484" Type="http://schemas.openxmlformats.org/officeDocument/2006/relationships/hyperlink" Target="https://navbharattimes.indiatimes.com/state/uttar-pradesh/barabanki/articlelist/92989781.cms" TargetMode="External"/><Relationship Id="rId120" Type="http://schemas.openxmlformats.org/officeDocument/2006/relationships/hyperlink" Target="https://www.amarujala.com/uttar-pradesh/varanasi" TargetMode="External"/><Relationship Id="rId241" Type="http://schemas.openxmlformats.org/officeDocument/2006/relationships/hyperlink" Target="https://feed.livehindustan.com/rss/1237909" TargetMode="External"/><Relationship Id="rId362" Type="http://schemas.openxmlformats.org/officeDocument/2006/relationships/hyperlink" Target="https://www.patrika.com/balrampur-news" TargetMode="External"/><Relationship Id="rId483" Type="http://schemas.openxmlformats.org/officeDocument/2006/relationships/hyperlink" Target="https://navbharattimes.indiatimes.com/state/uttar-pradesh/banda/articlelist/92989785.cms" TargetMode="External"/><Relationship Id="rId240" Type="http://schemas.openxmlformats.org/officeDocument/2006/relationships/hyperlink" Target="https://www.livehindustan.com/uttar-pradesh/shravasti/news" TargetMode="External"/><Relationship Id="rId361" Type="http://schemas.openxmlformats.org/officeDocument/2006/relationships/hyperlink" Target="https://cms.patrika.com/blog/location/bahraich-news/feed/" TargetMode="External"/><Relationship Id="rId482" Type="http://schemas.openxmlformats.org/officeDocument/2006/relationships/hyperlink" Target="https://navbharattimes.indiatimes.com/state/uttar-pradesh/balrampur/articlelist/92989566.cms" TargetMode="External"/><Relationship Id="rId360" Type="http://schemas.openxmlformats.org/officeDocument/2006/relationships/hyperlink" Target="https://www.patrika.com/bahraich-news" TargetMode="External"/><Relationship Id="rId481" Type="http://schemas.openxmlformats.org/officeDocument/2006/relationships/hyperlink" Target="https://navbharattimes.indiatimes.com/state/uttar-pradesh/ballia/articlelist/92989796.cms" TargetMode="External"/><Relationship Id="rId125" Type="http://schemas.openxmlformats.org/officeDocument/2006/relationships/hyperlink" Target="https://www.amarujala.com/rss/shahjahanpur.xml" TargetMode="External"/><Relationship Id="rId246" Type="http://schemas.openxmlformats.org/officeDocument/2006/relationships/hyperlink" Target="https://www.livehindustan.com/uttar-pradesh/faizabad/news" TargetMode="External"/><Relationship Id="rId367" Type="http://schemas.openxmlformats.org/officeDocument/2006/relationships/hyperlink" Target="https://cms.patrika.com/blog/location/shravasti-news/feed/" TargetMode="External"/><Relationship Id="rId488" Type="http://schemas.openxmlformats.org/officeDocument/2006/relationships/hyperlink" Target="https://navbharattimes.indiatimes.com/state/uttar-pradesh/bijnor/articlelist/92989774.cms" TargetMode="External"/><Relationship Id="rId124" Type="http://schemas.openxmlformats.org/officeDocument/2006/relationships/hyperlink" Target="https://www.amarujala.com/uttar-pradesh/shahjahanpur" TargetMode="External"/><Relationship Id="rId245" Type="http://schemas.openxmlformats.org/officeDocument/2006/relationships/hyperlink" Target="https://feed.livehindustan.com/rss/5072" TargetMode="External"/><Relationship Id="rId366" Type="http://schemas.openxmlformats.org/officeDocument/2006/relationships/hyperlink" Target="https://www.patrika.com/shravasti-news" TargetMode="External"/><Relationship Id="rId487" Type="http://schemas.openxmlformats.org/officeDocument/2006/relationships/hyperlink" Target="https://navbharattimes.indiatimes.com/state/uttar-pradesh/bhadohi/articlelist/92989735.cms" TargetMode="External"/><Relationship Id="rId123" Type="http://schemas.openxmlformats.org/officeDocument/2006/relationships/hyperlink" Target="https://www.amarujala.com/rss/shamli.xml" TargetMode="External"/><Relationship Id="rId244" Type="http://schemas.openxmlformats.org/officeDocument/2006/relationships/hyperlink" Target="https://www.livehindustan.com/uttar-pradesh/bahraich/news" TargetMode="External"/><Relationship Id="rId365" Type="http://schemas.openxmlformats.org/officeDocument/2006/relationships/hyperlink" Target="https://cms.patrika.com/blog/location/gonda-news/feed/" TargetMode="External"/><Relationship Id="rId486" Type="http://schemas.openxmlformats.org/officeDocument/2006/relationships/hyperlink" Target="https://navbharattimes.indiatimes.com/state/uttar-pradesh/basti/articlelist/92989793.cms" TargetMode="External"/><Relationship Id="rId122" Type="http://schemas.openxmlformats.org/officeDocument/2006/relationships/hyperlink" Target="https://www.amarujala.com/uttar-pradesh/shamli" TargetMode="External"/><Relationship Id="rId243" Type="http://schemas.openxmlformats.org/officeDocument/2006/relationships/hyperlink" Target="https://feed.livehindustan.com/rss/5070" TargetMode="External"/><Relationship Id="rId364" Type="http://schemas.openxmlformats.org/officeDocument/2006/relationships/hyperlink" Target="https://www.patrika.com/gonda-news" TargetMode="External"/><Relationship Id="rId485" Type="http://schemas.openxmlformats.org/officeDocument/2006/relationships/hyperlink" Target="https://navbharattimes.indiatimes.com/state/uttar-pradesh/bareilly/articlelist/75575203.cms" TargetMode="External"/><Relationship Id="rId95" Type="http://schemas.openxmlformats.org/officeDocument/2006/relationships/hyperlink" Target="https://www.amarujala.com/rss/mau.xml" TargetMode="External"/><Relationship Id="rId94" Type="http://schemas.openxmlformats.org/officeDocument/2006/relationships/hyperlink" Target="https://www.amarujala.com/uttar-pradesh/mau" TargetMode="External"/><Relationship Id="rId97" Type="http://schemas.openxmlformats.org/officeDocument/2006/relationships/hyperlink" Target="https://www.amarujala.com/rss/mathura.xml" TargetMode="External"/><Relationship Id="rId96" Type="http://schemas.openxmlformats.org/officeDocument/2006/relationships/hyperlink" Target="https://www.amarujala.com/uttar-pradesh/mathura" TargetMode="External"/><Relationship Id="rId99" Type="http://schemas.openxmlformats.org/officeDocument/2006/relationships/hyperlink" Target="https://www.amarujala.com/rss/maharajganj.xml" TargetMode="External"/><Relationship Id="rId480" Type="http://schemas.openxmlformats.org/officeDocument/2006/relationships/hyperlink" Target="https://navbharattimes.indiatimes.com/state/uttar-pradesh/bahraich/articlelist/92989786.cms" TargetMode="External"/><Relationship Id="rId98" Type="http://schemas.openxmlformats.org/officeDocument/2006/relationships/hyperlink" Target="https://www.amarujala.com/uttar-pradesh/maharajganj" TargetMode="External"/><Relationship Id="rId91" Type="http://schemas.openxmlformats.org/officeDocument/2006/relationships/hyperlink" Target="https://www.amarujala.com/rss/bulandshahr.xml" TargetMode="External"/><Relationship Id="rId90" Type="http://schemas.openxmlformats.org/officeDocument/2006/relationships/hyperlink" Target="https://www.amarujala.com/uttar-pradesh/bulandshahr" TargetMode="External"/><Relationship Id="rId93" Type="http://schemas.openxmlformats.org/officeDocument/2006/relationships/hyperlink" Target="https://www.amarujala.com/rss/bhadohi.xml" TargetMode="External"/><Relationship Id="rId92" Type="http://schemas.openxmlformats.org/officeDocument/2006/relationships/hyperlink" Target="https://www.amarujala.com/uttar-pradesh/bhadohi" TargetMode="External"/><Relationship Id="rId118" Type="http://schemas.openxmlformats.org/officeDocument/2006/relationships/hyperlink" Target="https://www.amarujala.com/uttar-pradesh/lalitpur" TargetMode="External"/><Relationship Id="rId239" Type="http://schemas.openxmlformats.org/officeDocument/2006/relationships/hyperlink" Target="https://feed.livehindustan.com/rss/1237908" TargetMode="External"/><Relationship Id="rId117" Type="http://schemas.openxmlformats.org/officeDocument/2006/relationships/hyperlink" Target="https://www.amarujala.com/rss/lakhimpur-kheri.xml" TargetMode="External"/><Relationship Id="rId238" Type="http://schemas.openxmlformats.org/officeDocument/2006/relationships/hyperlink" Target="https://www.livehindustan.com/uttar-pradesh/gauriganj/news" TargetMode="External"/><Relationship Id="rId359" Type="http://schemas.openxmlformats.org/officeDocument/2006/relationships/hyperlink" Target="https://cms.patrika.com/blog/location/mahoba-news/feed/" TargetMode="External"/><Relationship Id="rId116" Type="http://schemas.openxmlformats.org/officeDocument/2006/relationships/hyperlink" Target="https://www.amarujala.com/uttar-pradesh/lakhimpur-kheri" TargetMode="External"/><Relationship Id="rId237" Type="http://schemas.openxmlformats.org/officeDocument/2006/relationships/hyperlink" Target="https://feed.livehindustan.com/rss/1237907" TargetMode="External"/><Relationship Id="rId358" Type="http://schemas.openxmlformats.org/officeDocument/2006/relationships/hyperlink" Target="https://www.patrika.com/mahoba-news" TargetMode="External"/><Relationship Id="rId479" Type="http://schemas.openxmlformats.org/officeDocument/2006/relationships/hyperlink" Target="https://navbharattimes.indiatimes.com/state/uttar-pradesh/baghpat/articlelist/19928219.cms" TargetMode="External"/><Relationship Id="rId115" Type="http://schemas.openxmlformats.org/officeDocument/2006/relationships/hyperlink" Target="https://www.amarujala.com/rss/raebareli.xml" TargetMode="External"/><Relationship Id="rId236" Type="http://schemas.openxmlformats.org/officeDocument/2006/relationships/hyperlink" Target="https://www.livehindustan.com/uttar-pradesh/amethi/news" TargetMode="External"/><Relationship Id="rId357" Type="http://schemas.openxmlformats.org/officeDocument/2006/relationships/hyperlink" Target="https://cms.patrika.com/blog/location/hamirpur-news/feed/" TargetMode="External"/><Relationship Id="rId478" Type="http://schemas.openxmlformats.org/officeDocument/2006/relationships/hyperlink" Target="https://navbharattimes.indiatimes.com/state/uttar-pradesh/badaun/articlelist/92989815.cms" TargetMode="External"/><Relationship Id="rId119" Type="http://schemas.openxmlformats.org/officeDocument/2006/relationships/hyperlink" Target="https://www.amarujala.com/rss/lalitpur.xml" TargetMode="External"/><Relationship Id="rId110" Type="http://schemas.openxmlformats.org/officeDocument/2006/relationships/hyperlink" Target="https://www.amarujala.com/uttar-pradesh/mainpuri" TargetMode="External"/><Relationship Id="rId231" Type="http://schemas.openxmlformats.org/officeDocument/2006/relationships/hyperlink" Target="https://feed.livehindustan.com/rss/5067" TargetMode="External"/><Relationship Id="rId352" Type="http://schemas.openxmlformats.org/officeDocument/2006/relationships/hyperlink" Target="https://www.patrika.com/banda-news" TargetMode="External"/><Relationship Id="rId473" Type="http://schemas.openxmlformats.org/officeDocument/2006/relationships/hyperlink" Target="https://navbharattimes.indiatimes.com/state/uttar-pradesh/ambedkar-nagar/articlelist/92989536.cms" TargetMode="External"/><Relationship Id="rId230" Type="http://schemas.openxmlformats.org/officeDocument/2006/relationships/hyperlink" Target="https://www.livehindustan.com/uttar-pradesh/mainpuri/news" TargetMode="External"/><Relationship Id="rId351" Type="http://schemas.openxmlformats.org/officeDocument/2006/relationships/hyperlink" Target="https://cms.patrika.com/blog/location/sidharthnagar-news/feed/" TargetMode="External"/><Relationship Id="rId472" Type="http://schemas.openxmlformats.org/officeDocument/2006/relationships/hyperlink" Target="https://navbharattimes.indiatimes.com/state/uttar-pradesh/bulandshahr/articlelist/75574987.cms" TargetMode="External"/><Relationship Id="rId350" Type="http://schemas.openxmlformats.org/officeDocument/2006/relationships/hyperlink" Target="https://www.patrika.com/sidharthnagar-news" TargetMode="External"/><Relationship Id="rId471" Type="http://schemas.openxmlformats.org/officeDocument/2006/relationships/hyperlink" Target="https://navbharattimes.indiatimes.com/state/uttar-pradesh/ghaziabad/articlelist/75575006.cms" TargetMode="External"/><Relationship Id="rId470" Type="http://schemas.openxmlformats.org/officeDocument/2006/relationships/hyperlink" Target="https://navbharattimes.indiatimes.com/city/shahjahanpur/bjp-mla-salona-kushwaha-heated-debate-with-police-officer/videoshow/120483081.cms" TargetMode="External"/><Relationship Id="rId114" Type="http://schemas.openxmlformats.org/officeDocument/2006/relationships/hyperlink" Target="https://www.amarujala.com/uttar-pradesh/raebareli" TargetMode="External"/><Relationship Id="rId235" Type="http://schemas.openxmlformats.org/officeDocument/2006/relationships/hyperlink" Target="https://feed.livehindustan.com/rss/5069" TargetMode="External"/><Relationship Id="rId356" Type="http://schemas.openxmlformats.org/officeDocument/2006/relationships/hyperlink" Target="https://www.patrika.com/hamirpur-news" TargetMode="External"/><Relationship Id="rId477" Type="http://schemas.openxmlformats.org/officeDocument/2006/relationships/hyperlink" Target="https://navbharattimes.indiatimes.com/state/uttar-pradesh/azamgarh/articlelist/75575106.cms" TargetMode="External"/><Relationship Id="rId113" Type="http://schemas.openxmlformats.org/officeDocument/2006/relationships/hyperlink" Target="https://www.amarujala.com/rss/rampur.xml" TargetMode="External"/><Relationship Id="rId234" Type="http://schemas.openxmlformats.org/officeDocument/2006/relationships/hyperlink" Target="https://www.livehindustan.com/uttar-pradesh/ambedkar-nagar/news" TargetMode="External"/><Relationship Id="rId355" Type="http://schemas.openxmlformats.org/officeDocument/2006/relationships/hyperlink" Target="https://cms.patrika.com/blog/location/chitrakoot-news/feed/" TargetMode="External"/><Relationship Id="rId476" Type="http://schemas.openxmlformats.org/officeDocument/2006/relationships/hyperlink" Target="https://navbharattimes.indiatimes.com/state/uttar-pradesh/auraiya/articlelist/92989626.cms" TargetMode="External"/><Relationship Id="rId112" Type="http://schemas.openxmlformats.org/officeDocument/2006/relationships/hyperlink" Target="https://www.amarujala.com/uttar-pradesh/rampur" TargetMode="External"/><Relationship Id="rId233" Type="http://schemas.openxmlformats.org/officeDocument/2006/relationships/hyperlink" Target="https://feed.livehindustan.com/rss/5068" TargetMode="External"/><Relationship Id="rId354" Type="http://schemas.openxmlformats.org/officeDocument/2006/relationships/hyperlink" Target="https://www.patrika.com/chitrakoot-news" TargetMode="External"/><Relationship Id="rId475" Type="http://schemas.openxmlformats.org/officeDocument/2006/relationships/hyperlink" Target="https://navbharattimes.indiatimes.com/state/uttar-pradesh/amroha/articlelist/92989654.cms" TargetMode="External"/><Relationship Id="rId111" Type="http://schemas.openxmlformats.org/officeDocument/2006/relationships/hyperlink" Target="https://www.amarujala.com/rss/meerut.xml" TargetMode="External"/><Relationship Id="rId232" Type="http://schemas.openxmlformats.org/officeDocument/2006/relationships/hyperlink" Target="https://www.livehindustan.com/uttar-pradesh/mathura/news" TargetMode="External"/><Relationship Id="rId353" Type="http://schemas.openxmlformats.org/officeDocument/2006/relationships/hyperlink" Target="https://cms.patrika.com/blog/location/banda-news/feed/" TargetMode="External"/><Relationship Id="rId474" Type="http://schemas.openxmlformats.org/officeDocument/2006/relationships/hyperlink" Target="https://navbharattimes.indiatimes.com/state/uttar-pradesh/amethi/articlelist/92989585.cms" TargetMode="External"/><Relationship Id="rId305" Type="http://schemas.openxmlformats.org/officeDocument/2006/relationships/hyperlink" Target="https://cms.patrika.com/blog/location/uttar-pradesh-news/feed/" TargetMode="External"/><Relationship Id="rId426" Type="http://schemas.openxmlformats.org/officeDocument/2006/relationships/hyperlink" Target="https://www.patrika.com/hapur-news" TargetMode="External"/><Relationship Id="rId547" Type="http://schemas.openxmlformats.org/officeDocument/2006/relationships/hyperlink" Target="https://www.azmlive.in/?fbclid=IwY2xjawJ1zIpleHRuA2FlbQIxMABicmlkETF2WFZlUjhyQU92OFA2RTNQAR6_7bPismvJpa-N4MHCrDfdr1qrhhYNLRTuRmgamJ0ckzmSjnXfZPvTv_0iKA_aem_V6sLAOMA0k463I7zkrihkg" TargetMode="External"/><Relationship Id="rId304" Type="http://schemas.openxmlformats.org/officeDocument/2006/relationships/hyperlink" Target="https://www.patrika.com/uttar-pradesh-news" TargetMode="External"/><Relationship Id="rId425" Type="http://schemas.openxmlformats.org/officeDocument/2006/relationships/hyperlink" Target="https://cms.patrika.com/blog/location/ghazipur-news/feed/" TargetMode="External"/><Relationship Id="rId546" Type="http://schemas.openxmlformats.org/officeDocument/2006/relationships/hyperlink" Target="https://thedeoriatimes.com/" TargetMode="External"/><Relationship Id="rId303" Type="http://schemas.openxmlformats.org/officeDocument/2006/relationships/hyperlink" Target="https://feed.livehindustan.com/rss/1238044" TargetMode="External"/><Relationship Id="rId424" Type="http://schemas.openxmlformats.org/officeDocument/2006/relationships/hyperlink" Target="https://www.patrika.com/ghazipur-news" TargetMode="External"/><Relationship Id="rId545" Type="http://schemas.openxmlformats.org/officeDocument/2006/relationships/hyperlink" Target="https://www.friendstimes.in/?fbclid=IwY2xjawJ1y8pleHRuA2FlbQIxMABicmlkETF2WFZlUjhyQU92OFA2RTNQAR5goupmSiB43pAvaJ_JSJs-_zJOke7_jh-uCpdsBn9YZoqr2zF2PYtsH0_5og_aem_aiZhpN6YWfFeFkEPKPnbRQ" TargetMode="External"/><Relationship Id="rId302" Type="http://schemas.openxmlformats.org/officeDocument/2006/relationships/hyperlink" Target="https://www.livehindustan.com/uttar-pradesh/pratapgarh-kunda/news" TargetMode="External"/><Relationship Id="rId423" Type="http://schemas.openxmlformats.org/officeDocument/2006/relationships/hyperlink" Target="https://cms.patrika.com/blog/location/ghaziabad-news/feed/" TargetMode="External"/><Relationship Id="rId544" Type="http://schemas.openxmlformats.org/officeDocument/2006/relationships/hyperlink" Target="https://www.thevirallines.net/" TargetMode="External"/><Relationship Id="rId309" Type="http://schemas.openxmlformats.org/officeDocument/2006/relationships/hyperlink" Target="https://cms.patrika.com/blog/location/firozabad-news/feed/" TargetMode="External"/><Relationship Id="rId308" Type="http://schemas.openxmlformats.org/officeDocument/2006/relationships/hyperlink" Target="https://www.patrika.com/firozabad-news" TargetMode="External"/><Relationship Id="rId429" Type="http://schemas.openxmlformats.org/officeDocument/2006/relationships/hyperlink" Target="https://cms.patrika.com/blog/location/meerut-news/feed/" TargetMode="External"/><Relationship Id="rId307" Type="http://schemas.openxmlformats.org/officeDocument/2006/relationships/hyperlink" Target="https://cms.patrika.com/blog/location/agra-news/feed/" TargetMode="External"/><Relationship Id="rId428" Type="http://schemas.openxmlformats.org/officeDocument/2006/relationships/hyperlink" Target="https://www.patrika.com/meerut-news" TargetMode="External"/><Relationship Id="rId549" Type="http://schemas.openxmlformats.org/officeDocument/2006/relationships/hyperlink" Target="https://ballialive.in/?fbclid=IwY2xjawJ1zNlleHRuA2FlbQIxMABicmlkETF2WFZlUjhyQU92OFA2RTNQAR5wjtc8rq5x4hk7mzp2Cn-Quew9zDayy114SiP-0UikZGdBudZSBua0uo84IA_aem_ZxxWkUQc_iWhbHYE80IZQg" TargetMode="External"/><Relationship Id="rId306" Type="http://schemas.openxmlformats.org/officeDocument/2006/relationships/hyperlink" Target="https://www.patrika.com/agra-news" TargetMode="External"/><Relationship Id="rId427" Type="http://schemas.openxmlformats.org/officeDocument/2006/relationships/hyperlink" Target="https://cms.patrika.com/blog/location/hapur-news/feed/" TargetMode="External"/><Relationship Id="rId548" Type="http://schemas.openxmlformats.org/officeDocument/2006/relationships/hyperlink" Target="https://ballialive.in/?fbclid=IwY2xjawJ1zNlleHRuA2FlbQIxMABicmlkETF2WFZlUjhyQU92OFA2RTNQAR5wjtc8rq5x4hk7mzp2Cn-Quew9zDayy114SiP-0UikZGdBudZSBua0uo84IA_aem_ZxxWkUQc_iWhbHYE80IZQg" TargetMode="External"/><Relationship Id="rId301" Type="http://schemas.openxmlformats.org/officeDocument/2006/relationships/hyperlink" Target="https://feed.livehindustan.com/rss/1238043" TargetMode="External"/><Relationship Id="rId422" Type="http://schemas.openxmlformats.org/officeDocument/2006/relationships/hyperlink" Target="https://www.patrika.com/ghaziabad-news" TargetMode="External"/><Relationship Id="rId543" Type="http://schemas.openxmlformats.org/officeDocument/2006/relationships/hyperlink" Target="https://public.app/city/news-in-maharajganj" TargetMode="External"/><Relationship Id="rId300" Type="http://schemas.openxmlformats.org/officeDocument/2006/relationships/hyperlink" Target="https://www.livehindustan.com/uttar-pradesh/kausambi/news" TargetMode="External"/><Relationship Id="rId421" Type="http://schemas.openxmlformats.org/officeDocument/2006/relationships/hyperlink" Target="https://cms.patrika.com/blog/location/noida-news/feed/" TargetMode="External"/><Relationship Id="rId542" Type="http://schemas.openxmlformats.org/officeDocument/2006/relationships/hyperlink" Target="https://www.inextlive.com/uttar-pradesh/gorakhpur/" TargetMode="External"/><Relationship Id="rId420" Type="http://schemas.openxmlformats.org/officeDocument/2006/relationships/hyperlink" Target="https://www.patrika.com/noida-news" TargetMode="External"/><Relationship Id="rId541" Type="http://schemas.openxmlformats.org/officeDocument/2006/relationships/hyperlink" Target="https://chandaulisamachar.com/" TargetMode="External"/><Relationship Id="rId540" Type="http://schemas.openxmlformats.org/officeDocument/2006/relationships/hyperlink" Target="https://jmdnewsflash.com/feed/" TargetMode="External"/><Relationship Id="rId415" Type="http://schemas.openxmlformats.org/officeDocument/2006/relationships/hyperlink" Target="https://cms.patrika.com/blog/location/bagpat-news/feed/" TargetMode="External"/><Relationship Id="rId536" Type="http://schemas.openxmlformats.org/officeDocument/2006/relationships/hyperlink" Target="https://www.bhaskar.com/rss-v1--category-2052.xml" TargetMode="External"/><Relationship Id="rId414" Type="http://schemas.openxmlformats.org/officeDocument/2006/relationships/hyperlink" Target="https://www.patrika.com/bagpat-news" TargetMode="External"/><Relationship Id="rId535" Type="http://schemas.openxmlformats.org/officeDocument/2006/relationships/hyperlink" Target="https://www.bhaskar.com/mera-shaher/local/uttar-pradesh/" TargetMode="External"/><Relationship Id="rId413" Type="http://schemas.openxmlformats.org/officeDocument/2006/relationships/hyperlink" Target="https://cms.patrika.com/blog/location/unnao-news/feed/" TargetMode="External"/><Relationship Id="rId534" Type="http://schemas.openxmlformats.org/officeDocument/2006/relationships/hyperlink" Target="https://navbharattimes.indiatimes.com/state/uttar-pradesh/unnao/articlelist/92989661.cms" TargetMode="External"/><Relationship Id="rId412" Type="http://schemas.openxmlformats.org/officeDocument/2006/relationships/hyperlink" Target="https://www.patrika.com/unnao-news" TargetMode="External"/><Relationship Id="rId533" Type="http://schemas.openxmlformats.org/officeDocument/2006/relationships/hyperlink" Target="https://navbharattimes.indiatimes.com/state/uttar-pradesh/sultanpur/articlelist/92989720.cms" TargetMode="External"/><Relationship Id="rId419" Type="http://schemas.openxmlformats.org/officeDocument/2006/relationships/hyperlink" Target="https://cms.patrika.com/blog/location/greater-noida-news/feed/" TargetMode="External"/><Relationship Id="rId418" Type="http://schemas.openxmlformats.org/officeDocument/2006/relationships/hyperlink" Target="https://www.patrika.com/greater-noida-news" TargetMode="External"/><Relationship Id="rId539" Type="http://schemas.openxmlformats.org/officeDocument/2006/relationships/hyperlink" Target="https://jmdnewsflash.com/" TargetMode="External"/><Relationship Id="rId417" Type="http://schemas.openxmlformats.org/officeDocument/2006/relationships/hyperlink" Target="https://cms.patrika.com/blog/location/bulandshahr-news/feed/" TargetMode="External"/><Relationship Id="rId538" Type="http://schemas.openxmlformats.org/officeDocument/2006/relationships/hyperlink" Target="https://timesofindia.indiatimes.com/rssfeeds/-2128819658.cms" TargetMode="External"/><Relationship Id="rId416" Type="http://schemas.openxmlformats.org/officeDocument/2006/relationships/hyperlink" Target="https://www.patrika.com/bulandshahr-news" TargetMode="External"/><Relationship Id="rId537" Type="http://schemas.openxmlformats.org/officeDocument/2006/relationships/hyperlink" Target="https://timesofindia.indiatimes.com/india/uttar-pradesh" TargetMode="External"/><Relationship Id="rId411" Type="http://schemas.openxmlformats.org/officeDocument/2006/relationships/hyperlink" Target="https://cms.patrika.com/blog/location/sitapur-news/feed/" TargetMode="External"/><Relationship Id="rId532" Type="http://schemas.openxmlformats.org/officeDocument/2006/relationships/hyperlink" Target="https://navbharattimes.indiatimes.com/state/uttar-pradesh/sonbhadra/articlelist/92989719.cms" TargetMode="External"/><Relationship Id="rId410" Type="http://schemas.openxmlformats.org/officeDocument/2006/relationships/hyperlink" Target="https://www.patrika.com/sitapur-news" TargetMode="External"/><Relationship Id="rId531" Type="http://schemas.openxmlformats.org/officeDocument/2006/relationships/hyperlink" Target="https://navbharattimes.indiatimes.com/state/uttar-pradesh/sitapur/articlelist/92989730.cms" TargetMode="External"/><Relationship Id="rId530" Type="http://schemas.openxmlformats.org/officeDocument/2006/relationships/hyperlink" Target="https://navbharattimes.indiatimes.com/state/uttar-pradesh/siddharthnagar/articlelist/92989723.cms" TargetMode="External"/><Relationship Id="rId206" Type="http://schemas.openxmlformats.org/officeDocument/2006/relationships/hyperlink" Target="https://www.livehindustan.com/uttar-pradesh/shamli/news" TargetMode="External"/><Relationship Id="rId327" Type="http://schemas.openxmlformats.org/officeDocument/2006/relationships/hyperlink" Target="https://cms.patrika.com/blog/location/prayagraj/feed/" TargetMode="External"/><Relationship Id="rId448" Type="http://schemas.openxmlformats.org/officeDocument/2006/relationships/hyperlink" Target="https://www.patrika.com/saharanpur-news" TargetMode="External"/><Relationship Id="rId205" Type="http://schemas.openxmlformats.org/officeDocument/2006/relationships/hyperlink" Target="https://feed.livehindustan.com/rss/5052" TargetMode="External"/><Relationship Id="rId326" Type="http://schemas.openxmlformats.org/officeDocument/2006/relationships/hyperlink" Target="https://www.patrika.com/prayagraj-news" TargetMode="External"/><Relationship Id="rId447" Type="http://schemas.openxmlformats.org/officeDocument/2006/relationships/hyperlink" Target="https://cms.patrika.com/blog/location/muzaffarnagar-news/feed/" TargetMode="External"/><Relationship Id="rId204" Type="http://schemas.openxmlformats.org/officeDocument/2006/relationships/hyperlink" Target="https://www.livehindustan.com/uttar-pradesh/bagpat/news" TargetMode="External"/><Relationship Id="rId325" Type="http://schemas.openxmlformats.org/officeDocument/2006/relationships/hyperlink" Target="https://cms.patrika.com/blog/location/kaushambi-news/feed/" TargetMode="External"/><Relationship Id="rId446" Type="http://schemas.openxmlformats.org/officeDocument/2006/relationships/hyperlink" Target="https://www.patrika.com/muzaffarnagar-news" TargetMode="External"/><Relationship Id="rId203" Type="http://schemas.openxmlformats.org/officeDocument/2006/relationships/hyperlink" Target="https://feed.livehindustan.com/rss/5051" TargetMode="External"/><Relationship Id="rId324" Type="http://schemas.openxmlformats.org/officeDocument/2006/relationships/hyperlink" Target="https://www.patrika.com/kaushambi-news" TargetMode="External"/><Relationship Id="rId445" Type="http://schemas.openxmlformats.org/officeDocument/2006/relationships/hyperlink" Target="https://cms.patrika.com/blog/location/sambhal-news/feed/" TargetMode="External"/><Relationship Id="rId209" Type="http://schemas.openxmlformats.org/officeDocument/2006/relationships/hyperlink" Target="https://feed.livehindustan.com/rss/5053" TargetMode="External"/><Relationship Id="rId208" Type="http://schemas.openxmlformats.org/officeDocument/2006/relationships/hyperlink" Target="https://www.livehindustan.com/uttar-pradesh/bijnor/news" TargetMode="External"/><Relationship Id="rId329" Type="http://schemas.openxmlformats.org/officeDocument/2006/relationships/hyperlink" Target="https://cms.patrika.com/blog/location/fatehpur-news/feed/" TargetMode="External"/><Relationship Id="rId207" Type="http://schemas.openxmlformats.org/officeDocument/2006/relationships/hyperlink" Target="https://feed.livehindustan.com/rss/1237906" TargetMode="External"/><Relationship Id="rId328" Type="http://schemas.openxmlformats.org/officeDocument/2006/relationships/hyperlink" Target="https://www.patrika.com/fatehpur-news" TargetMode="External"/><Relationship Id="rId449" Type="http://schemas.openxmlformats.org/officeDocument/2006/relationships/hyperlink" Target="https://cms.patrika.com/blog/location/saharanpur-news/feed/" TargetMode="External"/><Relationship Id="rId440" Type="http://schemas.openxmlformats.org/officeDocument/2006/relationships/hyperlink" Target="https://www.patrika.com/moradabad-news" TargetMode="External"/><Relationship Id="rId202" Type="http://schemas.openxmlformats.org/officeDocument/2006/relationships/hyperlink" Target="https://www.livehindustan.com/uttar-pradesh/siddharth-nagar/news" TargetMode="External"/><Relationship Id="rId323" Type="http://schemas.openxmlformats.org/officeDocument/2006/relationships/hyperlink" Target="https://cms.patrika.com/blog/location/kasganj-news/feed/" TargetMode="External"/><Relationship Id="rId444" Type="http://schemas.openxmlformats.org/officeDocument/2006/relationships/hyperlink" Target="https://www.patrika.com/sambhal-news" TargetMode="External"/><Relationship Id="rId201" Type="http://schemas.openxmlformats.org/officeDocument/2006/relationships/hyperlink" Target="https://feed.livehindustan.com/rss/5050" TargetMode="External"/><Relationship Id="rId322" Type="http://schemas.openxmlformats.org/officeDocument/2006/relationships/hyperlink" Target="https://www.patrika.com/kasganj-news" TargetMode="External"/><Relationship Id="rId443" Type="http://schemas.openxmlformats.org/officeDocument/2006/relationships/hyperlink" Target="https://cms.patrika.com/blog/location/rampur-news/feed/" TargetMode="External"/><Relationship Id="rId200" Type="http://schemas.openxmlformats.org/officeDocument/2006/relationships/hyperlink" Target="https://www.livehindustan.com/uttar-pradesh/sant-kabir-nagar/news" TargetMode="External"/><Relationship Id="rId321" Type="http://schemas.openxmlformats.org/officeDocument/2006/relationships/hyperlink" Target="https://cms.patrika.com/blog/location/hathras-news/feed/" TargetMode="External"/><Relationship Id="rId442" Type="http://schemas.openxmlformats.org/officeDocument/2006/relationships/hyperlink" Target="https://www.patrika.com/rampur-news" TargetMode="External"/><Relationship Id="rId320" Type="http://schemas.openxmlformats.org/officeDocument/2006/relationships/hyperlink" Target="https://www.patrika.com/hathras-news" TargetMode="External"/><Relationship Id="rId441" Type="http://schemas.openxmlformats.org/officeDocument/2006/relationships/hyperlink" Target="https://cms.patrika.com/blog/location/moradabad-news/feed/" TargetMode="External"/><Relationship Id="rId316" Type="http://schemas.openxmlformats.org/officeDocument/2006/relationships/hyperlink" Target="https://www.patrika.com/etah-news" TargetMode="External"/><Relationship Id="rId437" Type="http://schemas.openxmlformats.org/officeDocument/2006/relationships/hyperlink" Target="https://cms.patrika.com/blog/location/amroha-news/feed/" TargetMode="External"/><Relationship Id="rId315" Type="http://schemas.openxmlformats.org/officeDocument/2006/relationships/hyperlink" Target="https://cms.patrika.com/blog/location/aligarh-news/feed/" TargetMode="External"/><Relationship Id="rId436" Type="http://schemas.openxmlformats.org/officeDocument/2006/relationships/hyperlink" Target="https://www.patrika.com/amroha-news" TargetMode="External"/><Relationship Id="rId314" Type="http://schemas.openxmlformats.org/officeDocument/2006/relationships/hyperlink" Target="https://www.patrika.com/aligarh-news" TargetMode="External"/><Relationship Id="rId435" Type="http://schemas.openxmlformats.org/officeDocument/2006/relationships/hyperlink" Target="https://cms.patrika.com/blog/location/sonbhadra-news/feed/" TargetMode="External"/><Relationship Id="rId313" Type="http://schemas.openxmlformats.org/officeDocument/2006/relationships/hyperlink" Target="https://cms.patrika.com/blog/location/mathura-news/feed/" TargetMode="External"/><Relationship Id="rId434" Type="http://schemas.openxmlformats.org/officeDocument/2006/relationships/hyperlink" Target="https://www.patrika.com/sonbhadra-news" TargetMode="External"/><Relationship Id="rId319" Type="http://schemas.openxmlformats.org/officeDocument/2006/relationships/hyperlink" Target="https://cms.patrika.com/blog/location/etawah-news/feed/" TargetMode="External"/><Relationship Id="rId318" Type="http://schemas.openxmlformats.org/officeDocument/2006/relationships/hyperlink" Target="https://www.patrika.com/etawah-news" TargetMode="External"/><Relationship Id="rId439" Type="http://schemas.openxmlformats.org/officeDocument/2006/relationships/hyperlink" Target="https://cms.patrika.com/blog/location/bijnor-news/feed/" TargetMode="External"/><Relationship Id="rId317" Type="http://schemas.openxmlformats.org/officeDocument/2006/relationships/hyperlink" Target="https://cms.patrika.com/blog/location/etah-news/feed/" TargetMode="External"/><Relationship Id="rId438" Type="http://schemas.openxmlformats.org/officeDocument/2006/relationships/hyperlink" Target="https://www.patrika.com/bijnor-news" TargetMode="External"/><Relationship Id="rId550" Type="http://schemas.openxmlformats.org/officeDocument/2006/relationships/drawing" Target="../drawings/drawing1.xml"/><Relationship Id="rId312" Type="http://schemas.openxmlformats.org/officeDocument/2006/relationships/hyperlink" Target="https://www.patrika.com/mathura-news" TargetMode="External"/><Relationship Id="rId433" Type="http://schemas.openxmlformats.org/officeDocument/2006/relationships/hyperlink" Target="https://cms.patrika.com/blog/location/mirzapur-news/feed/" TargetMode="External"/><Relationship Id="rId311" Type="http://schemas.openxmlformats.org/officeDocument/2006/relationships/hyperlink" Target="https://cms.patrika.com/blog/location/mainpuri-news/feed/" TargetMode="External"/><Relationship Id="rId432" Type="http://schemas.openxmlformats.org/officeDocument/2006/relationships/hyperlink" Target="https://www.patrika.com/mirzapur-news" TargetMode="External"/><Relationship Id="rId310" Type="http://schemas.openxmlformats.org/officeDocument/2006/relationships/hyperlink" Target="https://www.patrika.com/mainpuri-news" TargetMode="External"/><Relationship Id="rId431" Type="http://schemas.openxmlformats.org/officeDocument/2006/relationships/hyperlink" Target="https://cms.patrika.com/blog/location/bhadohi-news/feed/" TargetMode="External"/><Relationship Id="rId430" Type="http://schemas.openxmlformats.org/officeDocument/2006/relationships/hyperlink" Target="https://www.patrika.com/bhadohi-news" TargetMode="External"/><Relationship Id="rId551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vehindustan.com/uttar-pradesh/kushinagar/news" TargetMode="External"/><Relationship Id="rId194" Type="http://schemas.openxmlformats.org/officeDocument/2006/relationships/hyperlink" Target="https://www.livehindustan.com/uttar-pradesh/maharajganj/news" TargetMode="External"/><Relationship Id="rId193" Type="http://schemas.openxmlformats.org/officeDocument/2006/relationships/hyperlink" Target="https://feed.livehindustan.com/rss/5047" TargetMode="External"/><Relationship Id="rId192" Type="http://schemas.openxmlformats.org/officeDocument/2006/relationships/hyperlink" Target="https://www.livehindustan.com/uttar-pradesh/deoria/news" TargetMode="External"/><Relationship Id="rId191" Type="http://schemas.openxmlformats.org/officeDocument/2006/relationships/hyperlink" Target="https://feed.livehindustan.com/rss/1237903" TargetMode="External"/><Relationship Id="rId187" Type="http://schemas.openxmlformats.org/officeDocument/2006/relationships/hyperlink" Target="https://feed.livehindustan.com/rss/5045" TargetMode="External"/><Relationship Id="rId186" Type="http://schemas.openxmlformats.org/officeDocument/2006/relationships/hyperlink" Target="https://www.livehindustan.com/uttar-pradesh/sonbhadra/news" TargetMode="External"/><Relationship Id="rId185" Type="http://schemas.openxmlformats.org/officeDocument/2006/relationships/hyperlink" Target="https://feed.livehindustan.com/rss/5044" TargetMode="External"/><Relationship Id="rId184" Type="http://schemas.openxmlformats.org/officeDocument/2006/relationships/hyperlink" Target="https://www.livehindustan.com/uttar-pradesh/mirzapur/news" TargetMode="External"/><Relationship Id="rId189" Type="http://schemas.openxmlformats.org/officeDocument/2006/relationships/hyperlink" Target="https://feed.livehindustan.com/rss/5046" TargetMode="External"/><Relationship Id="rId188" Type="http://schemas.openxmlformats.org/officeDocument/2006/relationships/hyperlink" Target="https://www.livehindustan.com/uttar-pradesh/basti/news" TargetMode="External"/><Relationship Id="rId183" Type="http://schemas.openxmlformats.org/officeDocument/2006/relationships/hyperlink" Target="https://feed.livehindustan.com/rss/5043" TargetMode="External"/><Relationship Id="rId182" Type="http://schemas.openxmlformats.org/officeDocument/2006/relationships/hyperlink" Target="https://www.livehindustan.com/uttar-pradesh/mau/news" TargetMode="External"/><Relationship Id="rId181" Type="http://schemas.openxmlformats.org/officeDocument/2006/relationships/hyperlink" Target="https://feed.livehindustan.com/rss/5042" TargetMode="External"/><Relationship Id="rId180" Type="http://schemas.openxmlformats.org/officeDocument/2006/relationships/hyperlink" Target="https://www.livehindustan.com/uttar-pradesh/jaunpur/news" TargetMode="External"/><Relationship Id="rId176" Type="http://schemas.openxmlformats.org/officeDocument/2006/relationships/hyperlink" Target="https://www.livehindustan.com/uttar-pradesh/chandauli/news" TargetMode="External"/><Relationship Id="rId297" Type="http://schemas.openxmlformats.org/officeDocument/2006/relationships/hyperlink" Target="https://feed.livehindustan.com/rss/1238043" TargetMode="External"/><Relationship Id="rId175" Type="http://schemas.openxmlformats.org/officeDocument/2006/relationships/hyperlink" Target="https://feed.livehindustan.com/rss/5039" TargetMode="External"/><Relationship Id="rId296" Type="http://schemas.openxmlformats.org/officeDocument/2006/relationships/hyperlink" Target="https://www.livehindustan.com/uttar-pradesh/kausambi/news" TargetMode="External"/><Relationship Id="rId174" Type="http://schemas.openxmlformats.org/officeDocument/2006/relationships/hyperlink" Target="https://www.livehindustan.com/uttar-pradesh/bhadohi/news" TargetMode="External"/><Relationship Id="rId295" Type="http://schemas.openxmlformats.org/officeDocument/2006/relationships/hyperlink" Target="https://feed.livehindustan.com/rss/1238042" TargetMode="External"/><Relationship Id="rId173" Type="http://schemas.openxmlformats.org/officeDocument/2006/relationships/hyperlink" Target="https://feed.livehindustan.com/rss/5038" TargetMode="External"/><Relationship Id="rId294" Type="http://schemas.openxmlformats.org/officeDocument/2006/relationships/hyperlink" Target="https://www.livehindustan.com/uttar-pradesh/gangapar/news" TargetMode="External"/><Relationship Id="rId179" Type="http://schemas.openxmlformats.org/officeDocument/2006/relationships/hyperlink" Target="https://feed.livehindustan.com/rss/5041" TargetMode="External"/><Relationship Id="rId178" Type="http://schemas.openxmlformats.org/officeDocument/2006/relationships/hyperlink" Target="https://www.livehindustan.com/uttar-pradesh/ghazipur/news" TargetMode="External"/><Relationship Id="rId299" Type="http://schemas.openxmlformats.org/officeDocument/2006/relationships/hyperlink" Target="https://timesofindia.indiatimes.com/india/uttar-pradesh" TargetMode="External"/><Relationship Id="rId177" Type="http://schemas.openxmlformats.org/officeDocument/2006/relationships/hyperlink" Target="https://feed.livehindustan.com/rss/5040" TargetMode="External"/><Relationship Id="rId298" Type="http://schemas.openxmlformats.org/officeDocument/2006/relationships/hyperlink" Target="https://feed.livehindustan.com/rss/1238044" TargetMode="External"/><Relationship Id="rId198" Type="http://schemas.openxmlformats.org/officeDocument/2006/relationships/hyperlink" Target="https://www.livehindustan.com/uttar-pradesh/siddharth-nagar/news" TargetMode="External"/><Relationship Id="rId197" Type="http://schemas.openxmlformats.org/officeDocument/2006/relationships/hyperlink" Target="https://feed.livehindustan.com/rss/5050" TargetMode="External"/><Relationship Id="rId196" Type="http://schemas.openxmlformats.org/officeDocument/2006/relationships/hyperlink" Target="https://www.livehindustan.com/uttar-pradesh/sant-kabir-nagar/news" TargetMode="External"/><Relationship Id="rId195" Type="http://schemas.openxmlformats.org/officeDocument/2006/relationships/hyperlink" Target="https://feed.livehindustan.com/rss/5048" TargetMode="External"/><Relationship Id="rId199" Type="http://schemas.openxmlformats.org/officeDocument/2006/relationships/hyperlink" Target="https://feed.livehindustan.com/rss/5051" TargetMode="External"/><Relationship Id="rId150" Type="http://schemas.openxmlformats.org/officeDocument/2006/relationships/hyperlink" Target="https://www.livehindustan.com/uttar-pradesh/varanasi/news" TargetMode="External"/><Relationship Id="rId271" Type="http://schemas.openxmlformats.org/officeDocument/2006/relationships/hyperlink" Target="https://feed.livehindustan.com/rss/5080" TargetMode="External"/><Relationship Id="rId392" Type="http://schemas.openxmlformats.org/officeDocument/2006/relationships/hyperlink" Target="https://www.patrika.com/prayagraj-news" TargetMode="External"/><Relationship Id="rId270" Type="http://schemas.openxmlformats.org/officeDocument/2006/relationships/hyperlink" Target="https://www.livehindustan.com/uttar-pradesh/etawah/news" TargetMode="External"/><Relationship Id="rId391" Type="http://schemas.openxmlformats.org/officeDocument/2006/relationships/hyperlink" Target="https://cms.patrika.com/blog/location/kaushambi-news/feed/" TargetMode="External"/><Relationship Id="rId390" Type="http://schemas.openxmlformats.org/officeDocument/2006/relationships/hyperlink" Target="https://www.patrika.com/kaushambi-news" TargetMode="External"/><Relationship Id="rId1" Type="http://schemas.openxmlformats.org/officeDocument/2006/relationships/hyperlink" Target="https://www.bhaskar.com/mera-shaher/local/uttar-pradesh/" TargetMode="External"/><Relationship Id="rId2" Type="http://schemas.openxmlformats.org/officeDocument/2006/relationships/hyperlink" Target="https://www.bhaskar.com/rss-v1--category-2052.xml" TargetMode="External"/><Relationship Id="rId3" Type="http://schemas.openxmlformats.org/officeDocument/2006/relationships/hyperlink" Target="https://www.amarujala.com/uttar-pradesh" TargetMode="External"/><Relationship Id="rId149" Type="http://schemas.openxmlformats.org/officeDocument/2006/relationships/hyperlink" Target="https://feed.livehindustan.com/rss/5028" TargetMode="External"/><Relationship Id="rId4" Type="http://schemas.openxmlformats.org/officeDocument/2006/relationships/hyperlink" Target="https://www.amarujala.com/rss/uttar-pradesh.xml" TargetMode="External"/><Relationship Id="rId148" Type="http://schemas.openxmlformats.org/officeDocument/2006/relationships/hyperlink" Target="https://www.livehindustan.com/uttar-pradesh/lucknow/news" TargetMode="External"/><Relationship Id="rId269" Type="http://schemas.openxmlformats.org/officeDocument/2006/relationships/hyperlink" Target="https://feed.livehindustan.com/rss/5079" TargetMode="External"/><Relationship Id="rId9" Type="http://schemas.openxmlformats.org/officeDocument/2006/relationships/hyperlink" Target="https://www.amarujala.com/uttar-pradesh/amroha" TargetMode="External"/><Relationship Id="rId143" Type="http://schemas.openxmlformats.org/officeDocument/2006/relationships/hyperlink" Target="https://www.amarujala.com/uttar-pradesh/hardoi" TargetMode="External"/><Relationship Id="rId264" Type="http://schemas.openxmlformats.org/officeDocument/2006/relationships/hyperlink" Target="https://www.livehindustan.com/uttar-pradesh/kanpur-rural/news" TargetMode="External"/><Relationship Id="rId385" Type="http://schemas.openxmlformats.org/officeDocument/2006/relationships/hyperlink" Target="https://cms.patrika.com/blog/location/etawah-news/feed/" TargetMode="External"/><Relationship Id="rId142" Type="http://schemas.openxmlformats.org/officeDocument/2006/relationships/hyperlink" Target="https://www.amarujala.com/rss/hamirpur.xml" TargetMode="External"/><Relationship Id="rId263" Type="http://schemas.openxmlformats.org/officeDocument/2006/relationships/hyperlink" Target="https://feed.livehindustan.com/rss/1238011" TargetMode="External"/><Relationship Id="rId384" Type="http://schemas.openxmlformats.org/officeDocument/2006/relationships/hyperlink" Target="https://www.patrika.com/etawah-news" TargetMode="External"/><Relationship Id="rId141" Type="http://schemas.openxmlformats.org/officeDocument/2006/relationships/hyperlink" Target="https://www.amarujala.com/uttar-pradesh/hamirpur" TargetMode="External"/><Relationship Id="rId262" Type="http://schemas.openxmlformats.org/officeDocument/2006/relationships/hyperlink" Target="https://www.livehindustan.com/uttar-pradesh/mahoba/news" TargetMode="External"/><Relationship Id="rId383" Type="http://schemas.openxmlformats.org/officeDocument/2006/relationships/hyperlink" Target="https://cms.patrika.com/blog/location/etah-news/feed/" TargetMode="External"/><Relationship Id="rId140" Type="http://schemas.openxmlformats.org/officeDocument/2006/relationships/hyperlink" Target="https://www.amarujala.com/rss/sonebhadra.xml" TargetMode="External"/><Relationship Id="rId261" Type="http://schemas.openxmlformats.org/officeDocument/2006/relationships/hyperlink" Target="https://feed.livehindustan.com/rss/1238008" TargetMode="External"/><Relationship Id="rId382" Type="http://schemas.openxmlformats.org/officeDocument/2006/relationships/hyperlink" Target="https://www.patrika.com/etah-news" TargetMode="External"/><Relationship Id="rId5" Type="http://schemas.openxmlformats.org/officeDocument/2006/relationships/hyperlink" Target="https://www.amarujala.com/uttar-pradesh/gorakhpur" TargetMode="External"/><Relationship Id="rId147" Type="http://schemas.openxmlformats.org/officeDocument/2006/relationships/hyperlink" Target="https://feed.livehindustan.com/rss/5026" TargetMode="External"/><Relationship Id="rId268" Type="http://schemas.openxmlformats.org/officeDocument/2006/relationships/hyperlink" Target="https://www.livehindustan.com/uttar-pradesh/banda/news" TargetMode="External"/><Relationship Id="rId389" Type="http://schemas.openxmlformats.org/officeDocument/2006/relationships/hyperlink" Target="https://cms.patrika.com/blog/location/kasganj-news/feed/" TargetMode="External"/><Relationship Id="rId6" Type="http://schemas.openxmlformats.org/officeDocument/2006/relationships/hyperlink" Target="https://www.amarujala.com/rss/gorakhpur.xml" TargetMode="External"/><Relationship Id="rId146" Type="http://schemas.openxmlformats.org/officeDocument/2006/relationships/hyperlink" Target="https://www.amarujala.com/rss/hathras.xml" TargetMode="External"/><Relationship Id="rId267" Type="http://schemas.openxmlformats.org/officeDocument/2006/relationships/hyperlink" Target="https://feed.livehindustan.com/rss/1238035" TargetMode="External"/><Relationship Id="rId388" Type="http://schemas.openxmlformats.org/officeDocument/2006/relationships/hyperlink" Target="https://www.patrika.com/kasganj-news" TargetMode="External"/><Relationship Id="rId7" Type="http://schemas.openxmlformats.org/officeDocument/2006/relationships/hyperlink" Target="https://www.amarujala.com/uttar-pradesh/lucknow" TargetMode="External"/><Relationship Id="rId145" Type="http://schemas.openxmlformats.org/officeDocument/2006/relationships/hyperlink" Target="https://www.amarujala.com/uttar-pradesh/hathras" TargetMode="External"/><Relationship Id="rId266" Type="http://schemas.openxmlformats.org/officeDocument/2006/relationships/hyperlink" Target="https://www.livehindustan.com/uttar-pradesh/chitrakoot/news" TargetMode="External"/><Relationship Id="rId387" Type="http://schemas.openxmlformats.org/officeDocument/2006/relationships/hyperlink" Target="https://cms.patrika.com/blog/location/hathras-news/feed/" TargetMode="External"/><Relationship Id="rId8" Type="http://schemas.openxmlformats.org/officeDocument/2006/relationships/hyperlink" Target="https://www.amarujala.com/rss/lucknow.xml" TargetMode="External"/><Relationship Id="rId144" Type="http://schemas.openxmlformats.org/officeDocument/2006/relationships/hyperlink" Target="https://www.amarujala.com/rss/hardoi.xml" TargetMode="External"/><Relationship Id="rId265" Type="http://schemas.openxmlformats.org/officeDocument/2006/relationships/hyperlink" Target="https://feed.livehindustan.com/rss/1238022" TargetMode="External"/><Relationship Id="rId386" Type="http://schemas.openxmlformats.org/officeDocument/2006/relationships/hyperlink" Target="https://www.patrika.com/hathras-news" TargetMode="External"/><Relationship Id="rId260" Type="http://schemas.openxmlformats.org/officeDocument/2006/relationships/hyperlink" Target="https://www.livehindustan.com/uttar-pradesh/lalitpur/news" TargetMode="External"/><Relationship Id="rId381" Type="http://schemas.openxmlformats.org/officeDocument/2006/relationships/hyperlink" Target="https://cms.patrika.com/blog/location/aligarh-news/feed/" TargetMode="External"/><Relationship Id="rId380" Type="http://schemas.openxmlformats.org/officeDocument/2006/relationships/hyperlink" Target="https://www.patrika.com/aligarh-news" TargetMode="External"/><Relationship Id="rId139" Type="http://schemas.openxmlformats.org/officeDocument/2006/relationships/hyperlink" Target="https://www.amarujala.com/uttar-pradesh/sonbhadra" TargetMode="External"/><Relationship Id="rId138" Type="http://schemas.openxmlformats.org/officeDocument/2006/relationships/hyperlink" Target="https://www.amarujala.com/rss/sultanpur.xml" TargetMode="External"/><Relationship Id="rId259" Type="http://schemas.openxmlformats.org/officeDocument/2006/relationships/hyperlink" Target="https://feed.livehindustan.com/rss/1237931" TargetMode="External"/><Relationship Id="rId137" Type="http://schemas.openxmlformats.org/officeDocument/2006/relationships/hyperlink" Target="https://www.amarujala.com/uttar-pradesh/sultanpur" TargetMode="External"/><Relationship Id="rId258" Type="http://schemas.openxmlformats.org/officeDocument/2006/relationships/hyperlink" Target="https://www.livehindustan.com/uttar-pradesh/bilhor/news" TargetMode="External"/><Relationship Id="rId379" Type="http://schemas.openxmlformats.org/officeDocument/2006/relationships/hyperlink" Target="https://cms.patrika.com/blog/location/mathura-news/feed/" TargetMode="External"/><Relationship Id="rId132" Type="http://schemas.openxmlformats.org/officeDocument/2006/relationships/hyperlink" Target="https://www.amarujala.com/rss/saharanpur.xml" TargetMode="External"/><Relationship Id="rId253" Type="http://schemas.openxmlformats.org/officeDocument/2006/relationships/hyperlink" Target="https://feed.livehindustan.com/rss/5077" TargetMode="External"/><Relationship Id="rId374" Type="http://schemas.openxmlformats.org/officeDocument/2006/relationships/hyperlink" Target="https://www.patrika.com/firozabad-news" TargetMode="External"/><Relationship Id="rId495" Type="http://schemas.openxmlformats.org/officeDocument/2006/relationships/hyperlink" Target="https://cms.patrika.com/blog/location/meerut-news/feed/" TargetMode="External"/><Relationship Id="rId131" Type="http://schemas.openxmlformats.org/officeDocument/2006/relationships/hyperlink" Target="https://www.amarujala.com/uttar-pradesh/saharanpur" TargetMode="External"/><Relationship Id="rId252" Type="http://schemas.openxmlformats.org/officeDocument/2006/relationships/hyperlink" Target="https://www.livehindustan.com/uttar-pradesh/sultanpur/news" TargetMode="External"/><Relationship Id="rId373" Type="http://schemas.openxmlformats.org/officeDocument/2006/relationships/hyperlink" Target="https://cms.patrika.com/blog/location/agra-news/feed/" TargetMode="External"/><Relationship Id="rId494" Type="http://schemas.openxmlformats.org/officeDocument/2006/relationships/hyperlink" Target="https://www.patrika.com/meerut-news" TargetMode="External"/><Relationship Id="rId130" Type="http://schemas.openxmlformats.org/officeDocument/2006/relationships/hyperlink" Target="https://www.amarujala.com/rss/sambhal.xml" TargetMode="External"/><Relationship Id="rId251" Type="http://schemas.openxmlformats.org/officeDocument/2006/relationships/hyperlink" Target="https://feed.livehindustan.com/rss/5076" TargetMode="External"/><Relationship Id="rId372" Type="http://schemas.openxmlformats.org/officeDocument/2006/relationships/hyperlink" Target="https://www.patrika.com/agra-news" TargetMode="External"/><Relationship Id="rId493" Type="http://schemas.openxmlformats.org/officeDocument/2006/relationships/hyperlink" Target="https://cms.patrika.com/blog/location/hapur-news/feed/" TargetMode="External"/><Relationship Id="rId250" Type="http://schemas.openxmlformats.org/officeDocument/2006/relationships/hyperlink" Target="https://www.livehindustan.com/uttar-pradesh/sitapur/news" TargetMode="External"/><Relationship Id="rId371" Type="http://schemas.openxmlformats.org/officeDocument/2006/relationships/hyperlink" Target="https://cms.patrika.com/blog/location/uttar-pradesh-news/feed/" TargetMode="External"/><Relationship Id="rId492" Type="http://schemas.openxmlformats.org/officeDocument/2006/relationships/hyperlink" Target="https://www.patrika.com/hapur-news" TargetMode="External"/><Relationship Id="rId136" Type="http://schemas.openxmlformats.org/officeDocument/2006/relationships/hyperlink" Target="https://www.amarujala.com/rss/sitapur.xml" TargetMode="External"/><Relationship Id="rId257" Type="http://schemas.openxmlformats.org/officeDocument/2006/relationships/hyperlink" Target="https://feed.livehindustan.com/rss/1237918" TargetMode="External"/><Relationship Id="rId378" Type="http://schemas.openxmlformats.org/officeDocument/2006/relationships/hyperlink" Target="https://www.patrika.com/mathura-news" TargetMode="External"/><Relationship Id="rId499" Type="http://schemas.openxmlformats.org/officeDocument/2006/relationships/hyperlink" Target="https://cms.patrika.com/blog/location/mirzapur-news/feed/" TargetMode="External"/><Relationship Id="rId135" Type="http://schemas.openxmlformats.org/officeDocument/2006/relationships/hyperlink" Target="https://www.amarujala.com/uttar-pradesh/sitapur" TargetMode="External"/><Relationship Id="rId256" Type="http://schemas.openxmlformats.org/officeDocument/2006/relationships/hyperlink" Target="https://www.livehindustan.com/uttar-pradesh/akbarpur/news" TargetMode="External"/><Relationship Id="rId377" Type="http://schemas.openxmlformats.org/officeDocument/2006/relationships/hyperlink" Target="https://cms.patrika.com/blog/location/mainpuri-news/feed/" TargetMode="External"/><Relationship Id="rId498" Type="http://schemas.openxmlformats.org/officeDocument/2006/relationships/hyperlink" Target="https://www.patrika.com/mirzapur-news" TargetMode="External"/><Relationship Id="rId134" Type="http://schemas.openxmlformats.org/officeDocument/2006/relationships/hyperlink" Target="https://www.amarujala.com/rss/siddharthnagar.xml" TargetMode="External"/><Relationship Id="rId255" Type="http://schemas.openxmlformats.org/officeDocument/2006/relationships/hyperlink" Target="https://feed.livehindustan.com/rss/5078" TargetMode="External"/><Relationship Id="rId376" Type="http://schemas.openxmlformats.org/officeDocument/2006/relationships/hyperlink" Target="https://www.patrika.com/mainpuri-news" TargetMode="External"/><Relationship Id="rId497" Type="http://schemas.openxmlformats.org/officeDocument/2006/relationships/hyperlink" Target="https://cms.patrika.com/blog/location/bhadohi-news/feed/" TargetMode="External"/><Relationship Id="rId133" Type="http://schemas.openxmlformats.org/officeDocument/2006/relationships/hyperlink" Target="https://www.amarujala.com/uttar-pradesh/siddharthnagar" TargetMode="External"/><Relationship Id="rId254" Type="http://schemas.openxmlformats.org/officeDocument/2006/relationships/hyperlink" Target="https://www.livehindustan.com/uttar-pradesh/auraiya/news" TargetMode="External"/><Relationship Id="rId375" Type="http://schemas.openxmlformats.org/officeDocument/2006/relationships/hyperlink" Target="https://cms.patrika.com/blog/location/firozabad-news/feed/" TargetMode="External"/><Relationship Id="rId496" Type="http://schemas.openxmlformats.org/officeDocument/2006/relationships/hyperlink" Target="https://www.patrika.com/bhadohi-news" TargetMode="External"/><Relationship Id="rId172" Type="http://schemas.openxmlformats.org/officeDocument/2006/relationships/hyperlink" Target="https://www.livehindustan.com/uttar-pradesh/balia/news" TargetMode="External"/><Relationship Id="rId293" Type="http://schemas.openxmlformats.org/officeDocument/2006/relationships/hyperlink" Target="https://feed.livehindustan.com/rss/5092" TargetMode="External"/><Relationship Id="rId171" Type="http://schemas.openxmlformats.org/officeDocument/2006/relationships/hyperlink" Target="https://feed.livehindustan.com/rss/5037" TargetMode="External"/><Relationship Id="rId292" Type="http://schemas.openxmlformats.org/officeDocument/2006/relationships/hyperlink" Target="https://www.livehindustan.com/uttar-pradesh/sambhal/news" TargetMode="External"/><Relationship Id="rId170" Type="http://schemas.openxmlformats.org/officeDocument/2006/relationships/hyperlink" Target="https://www.livehindustan.com/uttar-pradesh/azamgarh/news" TargetMode="External"/><Relationship Id="rId291" Type="http://schemas.openxmlformats.org/officeDocument/2006/relationships/hyperlink" Target="https://feed.livehindustan.com/rss/5091" TargetMode="External"/><Relationship Id="rId290" Type="http://schemas.openxmlformats.org/officeDocument/2006/relationships/hyperlink" Target="https://www.livehindustan.com/uttar-pradesh/rampur/news" TargetMode="External"/><Relationship Id="rId165" Type="http://schemas.openxmlformats.org/officeDocument/2006/relationships/hyperlink" Target="https://feed.livehindustan.com/rss/5030" TargetMode="External"/><Relationship Id="rId286" Type="http://schemas.openxmlformats.org/officeDocument/2006/relationships/hyperlink" Target="https://www.livehindustan.com/uttar-pradesh/hathras/news" TargetMode="External"/><Relationship Id="rId164" Type="http://schemas.openxmlformats.org/officeDocument/2006/relationships/hyperlink" Target="https://www.livehindustan.com/uttar-pradesh/gorakhpur/news" TargetMode="External"/><Relationship Id="rId285" Type="http://schemas.openxmlformats.org/officeDocument/2006/relationships/hyperlink" Target="https://feed.livehindustan.com/rss/5087" TargetMode="External"/><Relationship Id="rId163" Type="http://schemas.openxmlformats.org/officeDocument/2006/relationships/hyperlink" Target="https://feed.livehindustan.com/rss/11373" TargetMode="External"/><Relationship Id="rId284" Type="http://schemas.openxmlformats.org/officeDocument/2006/relationships/hyperlink" Target="https://www.livehindustan.com/uttar-pradesh/unnao/news" TargetMode="External"/><Relationship Id="rId162" Type="http://schemas.openxmlformats.org/officeDocument/2006/relationships/hyperlink" Target="https://www.livehindustan.com/uttar-pradesh/prayagraj/news" TargetMode="External"/><Relationship Id="rId283" Type="http://schemas.openxmlformats.org/officeDocument/2006/relationships/hyperlink" Target="https://feed.livehindustan.com/rss/5085" TargetMode="External"/><Relationship Id="rId169" Type="http://schemas.openxmlformats.org/officeDocument/2006/relationships/hyperlink" Target="https://feed.livehindustan.com/rss/1348440" TargetMode="External"/><Relationship Id="rId168" Type="http://schemas.openxmlformats.org/officeDocument/2006/relationships/hyperlink" Target="https://www.livehindustan.com/uttar-pradesh/barabanki/news" TargetMode="External"/><Relationship Id="rId289" Type="http://schemas.openxmlformats.org/officeDocument/2006/relationships/hyperlink" Target="https://feed.livehindustan.com/rss/5090" TargetMode="External"/><Relationship Id="rId167" Type="http://schemas.openxmlformats.org/officeDocument/2006/relationships/hyperlink" Target="https://feed.livehindustan.com/rss/5034" TargetMode="External"/><Relationship Id="rId288" Type="http://schemas.openxmlformats.org/officeDocument/2006/relationships/hyperlink" Target="https://www.livehindustan.com/uttar-pradesh/amroha/news" TargetMode="External"/><Relationship Id="rId166" Type="http://schemas.openxmlformats.org/officeDocument/2006/relationships/hyperlink" Target="https://www.livehindustan.com/uttar-pradesh/kanpur/news" TargetMode="External"/><Relationship Id="rId287" Type="http://schemas.openxmlformats.org/officeDocument/2006/relationships/hyperlink" Target="https://feed.livehindustan.com/rss/5088" TargetMode="External"/><Relationship Id="rId161" Type="http://schemas.openxmlformats.org/officeDocument/2006/relationships/hyperlink" Target="https://feed.livehindustan.com/rss/5035" TargetMode="External"/><Relationship Id="rId282" Type="http://schemas.openxmlformats.org/officeDocument/2006/relationships/hyperlink" Target="https://www.livehindustan.com/uttar-pradesh/orai/news" TargetMode="External"/><Relationship Id="rId160" Type="http://schemas.openxmlformats.org/officeDocument/2006/relationships/hyperlink" Target="https://www.livehindustan.com/uttar-pradesh/aligarh/news" TargetMode="External"/><Relationship Id="rId281" Type="http://schemas.openxmlformats.org/officeDocument/2006/relationships/hyperlink" Target="https://feed.livehindustan.com/rss/5084" TargetMode="External"/><Relationship Id="rId280" Type="http://schemas.openxmlformats.org/officeDocument/2006/relationships/hyperlink" Target="https://www.livehindustan.com/uttar-pradesh/jhansi/news" TargetMode="External"/><Relationship Id="rId159" Type="http://schemas.openxmlformats.org/officeDocument/2006/relationships/hyperlink" Target="https://feed.livehindustan.com/rss/5033" TargetMode="External"/><Relationship Id="rId154" Type="http://schemas.openxmlformats.org/officeDocument/2006/relationships/hyperlink" Target="https://www.livehindustan.com/uttar-pradesh/moradabad/news" TargetMode="External"/><Relationship Id="rId275" Type="http://schemas.openxmlformats.org/officeDocument/2006/relationships/hyperlink" Target="https://feed.livehindustan.com/rss/896320" TargetMode="External"/><Relationship Id="rId396" Type="http://schemas.openxmlformats.org/officeDocument/2006/relationships/hyperlink" Target="https://www.patrika.com/pratapgarh-news" TargetMode="External"/><Relationship Id="rId153" Type="http://schemas.openxmlformats.org/officeDocument/2006/relationships/hyperlink" Target="https://feed.livehindustan.com/rss/5032" TargetMode="External"/><Relationship Id="rId274" Type="http://schemas.openxmlformats.org/officeDocument/2006/relationships/hyperlink" Target="https://www.livehindustan.com/uttar-pradesh/kannauj/news" TargetMode="External"/><Relationship Id="rId395" Type="http://schemas.openxmlformats.org/officeDocument/2006/relationships/hyperlink" Target="https://cms.patrika.com/blog/location/fatehpur-news/feed/" TargetMode="External"/><Relationship Id="rId152" Type="http://schemas.openxmlformats.org/officeDocument/2006/relationships/hyperlink" Target="https://www.livehindustan.com/uttar-pradesh/bareilly/news" TargetMode="External"/><Relationship Id="rId273" Type="http://schemas.openxmlformats.org/officeDocument/2006/relationships/hyperlink" Target="https://feed.livehindustan.com/rss/5081" TargetMode="External"/><Relationship Id="rId394" Type="http://schemas.openxmlformats.org/officeDocument/2006/relationships/hyperlink" Target="https://www.patrika.com/fatehpur-news" TargetMode="External"/><Relationship Id="rId151" Type="http://schemas.openxmlformats.org/officeDocument/2006/relationships/hyperlink" Target="https://feed.livehindustan.com/rss/5029" TargetMode="External"/><Relationship Id="rId272" Type="http://schemas.openxmlformats.org/officeDocument/2006/relationships/hyperlink" Target="https://www.livehindustan.com/uttar-pradesh/farrukhabad/news" TargetMode="External"/><Relationship Id="rId393" Type="http://schemas.openxmlformats.org/officeDocument/2006/relationships/hyperlink" Target="https://cms.patrika.com/blog/location/prayagraj/feed/" TargetMode="External"/><Relationship Id="rId158" Type="http://schemas.openxmlformats.org/officeDocument/2006/relationships/hyperlink" Target="https://www.livehindustan.com/uttar-pradesh/agra/news" TargetMode="External"/><Relationship Id="rId279" Type="http://schemas.openxmlformats.org/officeDocument/2006/relationships/hyperlink" Target="https://feed.livehindustan.com/rss/5083" TargetMode="External"/><Relationship Id="rId157" Type="http://schemas.openxmlformats.org/officeDocument/2006/relationships/hyperlink" Target="https://feed.livehindustan.com/rss/5031" TargetMode="External"/><Relationship Id="rId278" Type="http://schemas.openxmlformats.org/officeDocument/2006/relationships/hyperlink" Target="https://www.livehindustan.com/uttar-pradesh/hardoi/news" TargetMode="External"/><Relationship Id="rId399" Type="http://schemas.openxmlformats.org/officeDocument/2006/relationships/hyperlink" Target="https://cms.patrika.com/blog/location/azamgarh-news/feed/" TargetMode="External"/><Relationship Id="rId156" Type="http://schemas.openxmlformats.org/officeDocument/2006/relationships/hyperlink" Target="https://www.livehindustan.com/uttar-pradesh/meerut/news" TargetMode="External"/><Relationship Id="rId277" Type="http://schemas.openxmlformats.org/officeDocument/2006/relationships/hyperlink" Target="https://feed.livehindustan.com/rss/5082" TargetMode="External"/><Relationship Id="rId398" Type="http://schemas.openxmlformats.org/officeDocument/2006/relationships/hyperlink" Target="https://www.patrika.com/azamgarh-news" TargetMode="External"/><Relationship Id="rId155" Type="http://schemas.openxmlformats.org/officeDocument/2006/relationships/hyperlink" Target="https://feed.livehindustan.com/rss/5036" TargetMode="External"/><Relationship Id="rId276" Type="http://schemas.openxmlformats.org/officeDocument/2006/relationships/hyperlink" Target="https://www.livehindustan.com/uttar-pradesh/hamirpur/news" TargetMode="External"/><Relationship Id="rId397" Type="http://schemas.openxmlformats.org/officeDocument/2006/relationships/hyperlink" Target="https://cms.patrika.com/blog/location/pratapgarh-up-news/feed/" TargetMode="External"/><Relationship Id="rId40" Type="http://schemas.openxmlformats.org/officeDocument/2006/relationships/hyperlink" Target="https://www.amarujala.com/rss/ghazipur.xml" TargetMode="External"/><Relationship Id="rId42" Type="http://schemas.openxmlformats.org/officeDocument/2006/relationships/hyperlink" Target="https://www.amarujala.com/rss/gonda.xml" TargetMode="External"/><Relationship Id="rId41" Type="http://schemas.openxmlformats.org/officeDocument/2006/relationships/hyperlink" Target="https://www.amarujala.com/uttar-pradesh/gonda" TargetMode="External"/><Relationship Id="rId44" Type="http://schemas.openxmlformats.org/officeDocument/2006/relationships/hyperlink" Target="https://www.amarujala.com/rss/ghatampur.xml" TargetMode="External"/><Relationship Id="rId43" Type="http://schemas.openxmlformats.org/officeDocument/2006/relationships/hyperlink" Target="https://www.amarujala.com/uttar-pradesh/ghatampur" TargetMode="External"/><Relationship Id="rId46" Type="http://schemas.openxmlformats.org/officeDocument/2006/relationships/hyperlink" Target="https://www.amarujala.com/rss/chandauli.xml" TargetMode="External"/><Relationship Id="rId45" Type="http://schemas.openxmlformats.org/officeDocument/2006/relationships/hyperlink" Target="https://www.amarujala.com/uttar-pradesh/chandauli" TargetMode="External"/><Relationship Id="rId509" Type="http://schemas.openxmlformats.org/officeDocument/2006/relationships/hyperlink" Target="https://cms.patrika.com/blog/location/rampur-news/feed/" TargetMode="External"/><Relationship Id="rId508" Type="http://schemas.openxmlformats.org/officeDocument/2006/relationships/hyperlink" Target="https://www.patrika.com/rampur-news" TargetMode="External"/><Relationship Id="rId503" Type="http://schemas.openxmlformats.org/officeDocument/2006/relationships/hyperlink" Target="https://cms.patrika.com/blog/location/amroha-news/feed/" TargetMode="External"/><Relationship Id="rId502" Type="http://schemas.openxmlformats.org/officeDocument/2006/relationships/hyperlink" Target="https://www.patrika.com/amroha-news" TargetMode="External"/><Relationship Id="rId501" Type="http://schemas.openxmlformats.org/officeDocument/2006/relationships/hyperlink" Target="https://cms.patrika.com/blog/location/sonbhadra-news/feed/" TargetMode="External"/><Relationship Id="rId500" Type="http://schemas.openxmlformats.org/officeDocument/2006/relationships/hyperlink" Target="https://www.patrika.com/sonbhadra-news" TargetMode="External"/><Relationship Id="rId507" Type="http://schemas.openxmlformats.org/officeDocument/2006/relationships/hyperlink" Target="https://cms.patrika.com/blog/location/moradabad-news/feed/" TargetMode="External"/><Relationship Id="rId506" Type="http://schemas.openxmlformats.org/officeDocument/2006/relationships/hyperlink" Target="https://www.patrika.com/moradabad-news" TargetMode="External"/><Relationship Id="rId505" Type="http://schemas.openxmlformats.org/officeDocument/2006/relationships/hyperlink" Target="https://cms.patrika.com/blog/location/bijnor-news/feed/" TargetMode="External"/><Relationship Id="rId504" Type="http://schemas.openxmlformats.org/officeDocument/2006/relationships/hyperlink" Target="https://www.patrika.com/bijnor-news" TargetMode="External"/><Relationship Id="rId48" Type="http://schemas.openxmlformats.org/officeDocument/2006/relationships/hyperlink" Target="https://www.amarujala.com/rss/chitrakoot.xml" TargetMode="External"/><Relationship Id="rId47" Type="http://schemas.openxmlformats.org/officeDocument/2006/relationships/hyperlink" Target="https://www.amarujala.com/uttar-pradesh/chitrakoot" TargetMode="External"/><Relationship Id="rId49" Type="http://schemas.openxmlformats.org/officeDocument/2006/relationships/hyperlink" Target="https://www.amarujala.com/uttar-pradesh/jalaun" TargetMode="External"/><Relationship Id="rId31" Type="http://schemas.openxmlformats.org/officeDocument/2006/relationships/hyperlink" Target="https://www.amarujala.com/uttar-pradesh/kannauj" TargetMode="External"/><Relationship Id="rId30" Type="http://schemas.openxmlformats.org/officeDocument/2006/relationships/hyperlink" Target="https://www.amarujala.com/rss/auraiya.xml" TargetMode="External"/><Relationship Id="rId33" Type="http://schemas.openxmlformats.org/officeDocument/2006/relationships/hyperlink" Target="https://www.amarujala.com/uttar-pradesh/kanpur" TargetMode="External"/><Relationship Id="rId32" Type="http://schemas.openxmlformats.org/officeDocument/2006/relationships/hyperlink" Target="https://www.amarujala.com/rss/kannauj.xml" TargetMode="External"/><Relationship Id="rId35" Type="http://schemas.openxmlformats.org/officeDocument/2006/relationships/hyperlink" Target="https://www.amarujala.com/uttar-pradesh/kushinagar" TargetMode="External"/><Relationship Id="rId34" Type="http://schemas.openxmlformats.org/officeDocument/2006/relationships/hyperlink" Target="https://www.amarujala.com/rss/kanpur.xml" TargetMode="External"/><Relationship Id="rId37" Type="http://schemas.openxmlformats.org/officeDocument/2006/relationships/hyperlink" Target="https://www.amarujala.com/uttar-pradesh/kaushambi" TargetMode="External"/><Relationship Id="rId36" Type="http://schemas.openxmlformats.org/officeDocument/2006/relationships/hyperlink" Target="https://www.amarujala.com/rss/kushinagar.xml" TargetMode="External"/><Relationship Id="rId39" Type="http://schemas.openxmlformats.org/officeDocument/2006/relationships/hyperlink" Target="https://www.amarujala.com/uttar-pradesh/ghazipur" TargetMode="External"/><Relationship Id="rId38" Type="http://schemas.openxmlformats.org/officeDocument/2006/relationships/hyperlink" Target="https://www.amarujala.com/rss/kaushambi.xml" TargetMode="External"/><Relationship Id="rId20" Type="http://schemas.openxmlformats.org/officeDocument/2006/relationships/hyperlink" Target="https://www.amarujala.com/rss/agra.xml" TargetMode="External"/><Relationship Id="rId22" Type="http://schemas.openxmlformats.org/officeDocument/2006/relationships/hyperlink" Target="https://www.amarujala.com/rss/azamgarh.xml" TargetMode="External"/><Relationship Id="rId21" Type="http://schemas.openxmlformats.org/officeDocument/2006/relationships/hyperlink" Target="https://www.amarujala.com/uttar-pradesh/azamgarh" TargetMode="External"/><Relationship Id="rId24" Type="http://schemas.openxmlformats.org/officeDocument/2006/relationships/hyperlink" Target="https://www.amarujala.com/rss/etawah.xml" TargetMode="External"/><Relationship Id="rId23" Type="http://schemas.openxmlformats.org/officeDocument/2006/relationships/hyperlink" Target="https://www.amarujala.com/uttar-pradesh/etawah" TargetMode="External"/><Relationship Id="rId409" Type="http://schemas.openxmlformats.org/officeDocument/2006/relationships/hyperlink" Target="https://cms.patrika.com/blog/location/pilibhit-news/feed/" TargetMode="External"/><Relationship Id="rId404" Type="http://schemas.openxmlformats.org/officeDocument/2006/relationships/hyperlink" Target="https://www.patrika.com/bareilly-news" TargetMode="External"/><Relationship Id="rId403" Type="http://schemas.openxmlformats.org/officeDocument/2006/relationships/hyperlink" Target="https://cms.patrika.com/blog/location/mau-news/feed/" TargetMode="External"/><Relationship Id="rId524" Type="http://schemas.openxmlformats.org/officeDocument/2006/relationships/drawing" Target="../drawings/drawing2.xml"/><Relationship Id="rId402" Type="http://schemas.openxmlformats.org/officeDocument/2006/relationships/hyperlink" Target="https://www.patrika.com/mau-news" TargetMode="External"/><Relationship Id="rId523" Type="http://schemas.openxmlformats.org/officeDocument/2006/relationships/hyperlink" Target="https://cms.patrika.com/blog/location/varanasi-news/feed/" TargetMode="External"/><Relationship Id="rId401" Type="http://schemas.openxmlformats.org/officeDocument/2006/relationships/hyperlink" Target="https://cms.patrika.com/blog/location/ballia-news/feed/" TargetMode="External"/><Relationship Id="rId522" Type="http://schemas.openxmlformats.org/officeDocument/2006/relationships/hyperlink" Target="https://www.patrika.com/varanasi-news" TargetMode="External"/><Relationship Id="rId408" Type="http://schemas.openxmlformats.org/officeDocument/2006/relationships/hyperlink" Target="https://www.patrika.com/pilibhit-news" TargetMode="External"/><Relationship Id="rId407" Type="http://schemas.openxmlformats.org/officeDocument/2006/relationships/hyperlink" Target="https://cms.patrika.com/blog/location/budaun-news/feed/" TargetMode="External"/><Relationship Id="rId406" Type="http://schemas.openxmlformats.org/officeDocument/2006/relationships/hyperlink" Target="https://www.patrika.com/budaun-news" TargetMode="External"/><Relationship Id="rId405" Type="http://schemas.openxmlformats.org/officeDocument/2006/relationships/hyperlink" Target="https://cms.patrika.com/blog/location/bareilly-news/feed/" TargetMode="External"/><Relationship Id="rId26" Type="http://schemas.openxmlformats.org/officeDocument/2006/relationships/hyperlink" Target="https://www.amarujala.com/rss/unnao.xml" TargetMode="External"/><Relationship Id="rId25" Type="http://schemas.openxmlformats.org/officeDocument/2006/relationships/hyperlink" Target="https://www.amarujala.com/uttar-pradesh/unnao" TargetMode="External"/><Relationship Id="rId28" Type="http://schemas.openxmlformats.org/officeDocument/2006/relationships/hyperlink" Target="https://www.amarujala.com/rss/etah.xml" TargetMode="External"/><Relationship Id="rId27" Type="http://schemas.openxmlformats.org/officeDocument/2006/relationships/hyperlink" Target="https://www.amarujala.com/uttar-pradesh/etah" TargetMode="External"/><Relationship Id="rId400" Type="http://schemas.openxmlformats.org/officeDocument/2006/relationships/hyperlink" Target="https://www.patrika.com/ballia-news" TargetMode="External"/><Relationship Id="rId521" Type="http://schemas.openxmlformats.org/officeDocument/2006/relationships/hyperlink" Target="https://cms.patrika.com/blog/location/jaunpur-news/feed/" TargetMode="External"/><Relationship Id="rId29" Type="http://schemas.openxmlformats.org/officeDocument/2006/relationships/hyperlink" Target="https://www.amarujala.com/uttar-pradesh/auraiya" TargetMode="External"/><Relationship Id="rId520" Type="http://schemas.openxmlformats.org/officeDocument/2006/relationships/hyperlink" Target="https://www.patrika.com/jaunpur-news" TargetMode="External"/><Relationship Id="rId11" Type="http://schemas.openxmlformats.org/officeDocument/2006/relationships/hyperlink" Target="https://www.amarujala.com/uttar-pradesh/amethi" TargetMode="External"/><Relationship Id="rId10" Type="http://schemas.openxmlformats.org/officeDocument/2006/relationships/hyperlink" Target="https://www.amarujala.com/rss/amroha.xml" TargetMode="External"/><Relationship Id="rId13" Type="http://schemas.openxmlformats.org/officeDocument/2006/relationships/hyperlink" Target="https://www.amarujala.com/uttar-pradesh/ambedkar-nagar" TargetMode="External"/><Relationship Id="rId12" Type="http://schemas.openxmlformats.org/officeDocument/2006/relationships/hyperlink" Target="https://www.amarujala.com/rss/amethi.xml" TargetMode="External"/><Relationship Id="rId519" Type="http://schemas.openxmlformats.org/officeDocument/2006/relationships/hyperlink" Target="https://cms.patrika.com/blog/location/chandauli-news/feed/" TargetMode="External"/><Relationship Id="rId514" Type="http://schemas.openxmlformats.org/officeDocument/2006/relationships/hyperlink" Target="https://www.patrika.com/saharanpur-news" TargetMode="External"/><Relationship Id="rId513" Type="http://schemas.openxmlformats.org/officeDocument/2006/relationships/hyperlink" Target="https://cms.patrika.com/blog/location/muzaffarnagar-news/feed/" TargetMode="External"/><Relationship Id="rId512" Type="http://schemas.openxmlformats.org/officeDocument/2006/relationships/hyperlink" Target="https://www.patrika.com/muzaffarnagar-news" TargetMode="External"/><Relationship Id="rId511" Type="http://schemas.openxmlformats.org/officeDocument/2006/relationships/hyperlink" Target="https://cms.patrika.com/blog/location/sambhal-news/feed/" TargetMode="External"/><Relationship Id="rId518" Type="http://schemas.openxmlformats.org/officeDocument/2006/relationships/hyperlink" Target="https://www.patrika.com/chandauli-news" TargetMode="External"/><Relationship Id="rId517" Type="http://schemas.openxmlformats.org/officeDocument/2006/relationships/hyperlink" Target="https://cms.patrika.com/blog/location/shamli-news/feed/" TargetMode="External"/><Relationship Id="rId516" Type="http://schemas.openxmlformats.org/officeDocument/2006/relationships/hyperlink" Target="https://www.patrika.com/shamli-news" TargetMode="External"/><Relationship Id="rId515" Type="http://schemas.openxmlformats.org/officeDocument/2006/relationships/hyperlink" Target="https://cms.patrika.com/blog/location/saharanpur-news/feed/" TargetMode="External"/><Relationship Id="rId15" Type="http://schemas.openxmlformats.org/officeDocument/2006/relationships/hyperlink" Target="https://www.amarujala.com/uttar-pradesh/faizabad" TargetMode="External"/><Relationship Id="rId14" Type="http://schemas.openxmlformats.org/officeDocument/2006/relationships/hyperlink" Target="https://www.amarujala.com/rss/ambedkar-nagar.xml" TargetMode="External"/><Relationship Id="rId17" Type="http://schemas.openxmlformats.org/officeDocument/2006/relationships/hyperlink" Target="https://www.amarujala.com/uttar-pradesh/aligarh" TargetMode="External"/><Relationship Id="rId16" Type="http://schemas.openxmlformats.org/officeDocument/2006/relationships/hyperlink" Target="https://www.amarujala.com/rss/faizabad.xml" TargetMode="External"/><Relationship Id="rId19" Type="http://schemas.openxmlformats.org/officeDocument/2006/relationships/hyperlink" Target="https://www.amarujala.com/uttar-pradesh/agra" TargetMode="External"/><Relationship Id="rId510" Type="http://schemas.openxmlformats.org/officeDocument/2006/relationships/hyperlink" Target="https://www.patrika.com/sambhal-news" TargetMode="External"/><Relationship Id="rId18" Type="http://schemas.openxmlformats.org/officeDocument/2006/relationships/hyperlink" Target="https://www.amarujala.com/rss/aligarh.xml" TargetMode="External"/><Relationship Id="rId84" Type="http://schemas.openxmlformats.org/officeDocument/2006/relationships/hyperlink" Target="https://www.amarujala.com/rss/baghpat.xml" TargetMode="External"/><Relationship Id="rId83" Type="http://schemas.openxmlformats.org/officeDocument/2006/relationships/hyperlink" Target="https://www.amarujala.com/uttar-pradesh/baghpat" TargetMode="External"/><Relationship Id="rId86" Type="http://schemas.openxmlformats.org/officeDocument/2006/relationships/hyperlink" Target="https://www.amarujala.com/rss/barabanki.xml" TargetMode="External"/><Relationship Id="rId85" Type="http://schemas.openxmlformats.org/officeDocument/2006/relationships/hyperlink" Target="https://www.amarujala.com/uttar-pradesh/barabanki" TargetMode="External"/><Relationship Id="rId88" Type="http://schemas.openxmlformats.org/officeDocument/2006/relationships/hyperlink" Target="https://www.amarujala.com/rss/bijnor.xml" TargetMode="External"/><Relationship Id="rId87" Type="http://schemas.openxmlformats.org/officeDocument/2006/relationships/hyperlink" Target="https://www.amarujala.com/uttar-pradesh/bijnor" TargetMode="External"/><Relationship Id="rId89" Type="http://schemas.openxmlformats.org/officeDocument/2006/relationships/hyperlink" Target="https://www.amarujala.com/uttar-pradesh/bulandshahr" TargetMode="External"/><Relationship Id="rId80" Type="http://schemas.openxmlformats.org/officeDocument/2006/relationships/hyperlink" Target="https://www.amarujala.com/rss/bahraich.xml" TargetMode="External"/><Relationship Id="rId82" Type="http://schemas.openxmlformats.org/officeDocument/2006/relationships/hyperlink" Target="https://www.amarujala.com/rss/banda.xml" TargetMode="External"/><Relationship Id="rId81" Type="http://schemas.openxmlformats.org/officeDocument/2006/relationships/hyperlink" Target="https://www.amarujala.com/uttar-pradesh/banda" TargetMode="External"/><Relationship Id="rId73" Type="http://schemas.openxmlformats.org/officeDocument/2006/relationships/hyperlink" Target="https://www.amarujala.com/uttar-pradesh/balrampur" TargetMode="External"/><Relationship Id="rId72" Type="http://schemas.openxmlformats.org/officeDocument/2006/relationships/hyperlink" Target="https://www.amarujala.com/rss/bareilly.xml" TargetMode="External"/><Relationship Id="rId75" Type="http://schemas.openxmlformats.org/officeDocument/2006/relationships/hyperlink" Target="https://www.amarujala.com/uttar-pradesh/ballia" TargetMode="External"/><Relationship Id="rId74" Type="http://schemas.openxmlformats.org/officeDocument/2006/relationships/hyperlink" Target="https://www.amarujala.com/rss/balrampur.xml" TargetMode="External"/><Relationship Id="rId77" Type="http://schemas.openxmlformats.org/officeDocument/2006/relationships/hyperlink" Target="https://www.amarujala.com/uttar-pradesh/basti" TargetMode="External"/><Relationship Id="rId76" Type="http://schemas.openxmlformats.org/officeDocument/2006/relationships/hyperlink" Target="https://www.amarujala.com/rss/ballia.xml" TargetMode="External"/><Relationship Id="rId79" Type="http://schemas.openxmlformats.org/officeDocument/2006/relationships/hyperlink" Target="https://www.amarujala.com/uttar-pradesh/bahraich" TargetMode="External"/><Relationship Id="rId78" Type="http://schemas.openxmlformats.org/officeDocument/2006/relationships/hyperlink" Target="https://www.amarujala.com/rss/basti.xml" TargetMode="External"/><Relationship Id="rId71" Type="http://schemas.openxmlformats.org/officeDocument/2006/relationships/hyperlink" Target="https://www.amarujala.com/uttar-pradesh/bareilly" TargetMode="External"/><Relationship Id="rId70" Type="http://schemas.openxmlformats.org/officeDocument/2006/relationships/hyperlink" Target="https://www.amarujala.com/rss/budaun.xml" TargetMode="External"/><Relationship Id="rId62" Type="http://schemas.openxmlformats.org/officeDocument/2006/relationships/hyperlink" Target="https://www.amarujala.com/rss/allahabad.xml" TargetMode="External"/><Relationship Id="rId61" Type="http://schemas.openxmlformats.org/officeDocument/2006/relationships/hyperlink" Target="https://www.amarujala.com/uttar-pradesh/allahabad" TargetMode="External"/><Relationship Id="rId64" Type="http://schemas.openxmlformats.org/officeDocument/2006/relationships/hyperlink" Target="https://www.amarujala.com/rss/fatehpur.xml" TargetMode="External"/><Relationship Id="rId63" Type="http://schemas.openxmlformats.org/officeDocument/2006/relationships/hyperlink" Target="https://www.amarujala.com/uttar-pradesh/fatehpur" TargetMode="External"/><Relationship Id="rId66" Type="http://schemas.openxmlformats.org/officeDocument/2006/relationships/hyperlink" Target="https://www.amarujala.com/rss/farrukhabad.xml" TargetMode="External"/><Relationship Id="rId65" Type="http://schemas.openxmlformats.org/officeDocument/2006/relationships/hyperlink" Target="https://www.amarujala.com/uttar-pradesh/farrukhabad" TargetMode="External"/><Relationship Id="rId68" Type="http://schemas.openxmlformats.org/officeDocument/2006/relationships/hyperlink" Target="https://www.amarujala.com/rss/firozabad.xml" TargetMode="External"/><Relationship Id="rId67" Type="http://schemas.openxmlformats.org/officeDocument/2006/relationships/hyperlink" Target="https://www.amarujala.com/uttar-pradesh/firozabad" TargetMode="External"/><Relationship Id="rId60" Type="http://schemas.openxmlformats.org/officeDocument/2006/relationships/hyperlink" Target="https://www.amarujala.com/rss/pratapgarh.xml" TargetMode="External"/><Relationship Id="rId69" Type="http://schemas.openxmlformats.org/officeDocument/2006/relationships/hyperlink" Target="https://www.amarujala.com/uttar-pradesh/budaun" TargetMode="External"/><Relationship Id="rId51" Type="http://schemas.openxmlformats.org/officeDocument/2006/relationships/hyperlink" Target="https://www.amarujala.com/uttar-pradesh/jaunpur" TargetMode="External"/><Relationship Id="rId50" Type="http://schemas.openxmlformats.org/officeDocument/2006/relationships/hyperlink" Target="https://www.amarujala.com/rss/jalaun.xml" TargetMode="External"/><Relationship Id="rId53" Type="http://schemas.openxmlformats.org/officeDocument/2006/relationships/hyperlink" Target="https://www.amarujala.com/uttar-pradesh/jhansi" TargetMode="External"/><Relationship Id="rId52" Type="http://schemas.openxmlformats.org/officeDocument/2006/relationships/hyperlink" Target="https://www.amarujala.com/rss/jaunpur.xml" TargetMode="External"/><Relationship Id="rId55" Type="http://schemas.openxmlformats.org/officeDocument/2006/relationships/hyperlink" Target="https://www.amarujala.com/uttar-pradesh/deoria" TargetMode="External"/><Relationship Id="rId54" Type="http://schemas.openxmlformats.org/officeDocument/2006/relationships/hyperlink" Target="https://www.amarujala.com/rss/jhansi.xml" TargetMode="External"/><Relationship Id="rId57" Type="http://schemas.openxmlformats.org/officeDocument/2006/relationships/hyperlink" Target="https://www.amarujala.com/uttar-pradesh/pilibhit" TargetMode="External"/><Relationship Id="rId56" Type="http://schemas.openxmlformats.org/officeDocument/2006/relationships/hyperlink" Target="https://www.amarujala.com/rss/deoria.xml" TargetMode="External"/><Relationship Id="rId59" Type="http://schemas.openxmlformats.org/officeDocument/2006/relationships/hyperlink" Target="https://www.amarujala.com/uttar-pradesh/pratapgarh" TargetMode="External"/><Relationship Id="rId58" Type="http://schemas.openxmlformats.org/officeDocument/2006/relationships/hyperlink" Target="https://www.amarujala.com/rss/pilibhit.xml" TargetMode="External"/><Relationship Id="rId107" Type="http://schemas.openxmlformats.org/officeDocument/2006/relationships/hyperlink" Target="https://www.amarujala.com/uttar-pradesh/meerut" TargetMode="External"/><Relationship Id="rId228" Type="http://schemas.openxmlformats.org/officeDocument/2006/relationships/hyperlink" Target="https://www.livehindustan.com/uttar-pradesh/mathura/news" TargetMode="External"/><Relationship Id="rId349" Type="http://schemas.openxmlformats.org/officeDocument/2006/relationships/hyperlink" Target="https://navbharattimes.indiatimes.com/state/uttar-pradesh/mau/articlelist/92989767.cms" TargetMode="External"/><Relationship Id="rId106" Type="http://schemas.openxmlformats.org/officeDocument/2006/relationships/hyperlink" Target="https://www.amarujala.com/rss/moradabad.xml" TargetMode="External"/><Relationship Id="rId227" Type="http://schemas.openxmlformats.org/officeDocument/2006/relationships/hyperlink" Target="https://feed.livehindustan.com/rss/5067" TargetMode="External"/><Relationship Id="rId348" Type="http://schemas.openxmlformats.org/officeDocument/2006/relationships/hyperlink" Target="https://navbharattimes.indiatimes.com/state/uttar-pradesh/mainpuri/articlelist/92989761.cms" TargetMode="External"/><Relationship Id="rId469" Type="http://schemas.openxmlformats.org/officeDocument/2006/relationships/hyperlink" Target="https://cms.patrika.com/blog/location/hardoi-news/feed/" TargetMode="External"/><Relationship Id="rId105" Type="http://schemas.openxmlformats.org/officeDocument/2006/relationships/hyperlink" Target="https://www.amarujala.com/uttar-pradesh/moradabad" TargetMode="External"/><Relationship Id="rId226" Type="http://schemas.openxmlformats.org/officeDocument/2006/relationships/hyperlink" Target="https://www.livehindustan.com/uttar-pradesh/mainpuri/news" TargetMode="External"/><Relationship Id="rId347" Type="http://schemas.openxmlformats.org/officeDocument/2006/relationships/hyperlink" Target="https://navbharattimes.indiatimes.com/state/uttar-pradesh/mahoba/articlelist/92989763.cms" TargetMode="External"/><Relationship Id="rId468" Type="http://schemas.openxmlformats.org/officeDocument/2006/relationships/hyperlink" Target="https://www.patrika.com/hardoi-news" TargetMode="External"/><Relationship Id="rId104" Type="http://schemas.openxmlformats.org/officeDocument/2006/relationships/hyperlink" Target="https://www.amarujala.com/rss/muzaffarnagar.xml" TargetMode="External"/><Relationship Id="rId225" Type="http://schemas.openxmlformats.org/officeDocument/2006/relationships/hyperlink" Target="https://feed.livehindustan.com/rss/5066" TargetMode="External"/><Relationship Id="rId346" Type="http://schemas.openxmlformats.org/officeDocument/2006/relationships/hyperlink" Target="https://navbharattimes.indiatimes.com/state/uttar-pradesh/maharajganj/articlelist/92989765.cms" TargetMode="External"/><Relationship Id="rId467" Type="http://schemas.openxmlformats.org/officeDocument/2006/relationships/hyperlink" Target="https://cms.patrika.com/blog/location/kanpur-news/feed/" TargetMode="External"/><Relationship Id="rId109" Type="http://schemas.openxmlformats.org/officeDocument/2006/relationships/hyperlink" Target="https://www.amarujala.com/uttar-pradesh/mainpuri" TargetMode="External"/><Relationship Id="rId108" Type="http://schemas.openxmlformats.org/officeDocument/2006/relationships/hyperlink" Target="https://www.amarujala.com/rss/meerut.xml" TargetMode="External"/><Relationship Id="rId229" Type="http://schemas.openxmlformats.org/officeDocument/2006/relationships/hyperlink" Target="https://feed.livehindustan.com/rss/5068" TargetMode="External"/><Relationship Id="rId220" Type="http://schemas.openxmlformats.org/officeDocument/2006/relationships/hyperlink" Target="https://www.livehindustan.com/uttar-pradesh/shahjahanpur/news" TargetMode="External"/><Relationship Id="rId341" Type="http://schemas.openxmlformats.org/officeDocument/2006/relationships/hyperlink" Target="https://navbharattimes.indiatimes.com/state/uttar-pradesh/kannauj/articlelist/92989629.cms" TargetMode="External"/><Relationship Id="rId462" Type="http://schemas.openxmlformats.org/officeDocument/2006/relationships/hyperlink" Target="https://www.patrika.com/farrukhabad-news" TargetMode="External"/><Relationship Id="rId340" Type="http://schemas.openxmlformats.org/officeDocument/2006/relationships/hyperlink" Target="https://navbharattimes.indiatimes.com/state/uttar-pradesh/jhansi/articlelist/92989606.cms" TargetMode="External"/><Relationship Id="rId461" Type="http://schemas.openxmlformats.org/officeDocument/2006/relationships/hyperlink" Target="https://cms.patrika.com/blog/location/auraiya-news/feed/" TargetMode="External"/><Relationship Id="rId460" Type="http://schemas.openxmlformats.org/officeDocument/2006/relationships/hyperlink" Target="https://www.patrika.com/auraiya-news" TargetMode="External"/><Relationship Id="rId103" Type="http://schemas.openxmlformats.org/officeDocument/2006/relationships/hyperlink" Target="https://www.amarujala.com/uttar-pradesh/muzaffarnagar" TargetMode="External"/><Relationship Id="rId224" Type="http://schemas.openxmlformats.org/officeDocument/2006/relationships/hyperlink" Target="https://www.livehindustan.com/uttar-pradesh/firozabad/news" TargetMode="External"/><Relationship Id="rId345" Type="http://schemas.openxmlformats.org/officeDocument/2006/relationships/hyperlink" Target="https://navbharattimes.indiatimes.com/state/uttar-pradesh/lalitpur/articlelist/92989752.cms" TargetMode="External"/><Relationship Id="rId466" Type="http://schemas.openxmlformats.org/officeDocument/2006/relationships/hyperlink" Target="https://www.patrika.com/kanpur-news" TargetMode="External"/><Relationship Id="rId102" Type="http://schemas.openxmlformats.org/officeDocument/2006/relationships/hyperlink" Target="https://www.amarujala.com/rss/mirzapur.xml" TargetMode="External"/><Relationship Id="rId223" Type="http://schemas.openxmlformats.org/officeDocument/2006/relationships/hyperlink" Target="https://feed.livehindustan.com/rss/5065" TargetMode="External"/><Relationship Id="rId344" Type="http://schemas.openxmlformats.org/officeDocument/2006/relationships/hyperlink" Target="https://navbharattimes.indiatimes.com/state/uttar-pradesh/kushinagar/articlelist/92989608.cms" TargetMode="External"/><Relationship Id="rId465" Type="http://schemas.openxmlformats.org/officeDocument/2006/relationships/hyperlink" Target="https://cms.patrika.com/blog/location/kannauj-news/feed/" TargetMode="External"/><Relationship Id="rId101" Type="http://schemas.openxmlformats.org/officeDocument/2006/relationships/hyperlink" Target="https://www.amarujala.com/uttar-pradesh/mirzapur" TargetMode="External"/><Relationship Id="rId222" Type="http://schemas.openxmlformats.org/officeDocument/2006/relationships/hyperlink" Target="https://www.livehindustan.com/uttar-pradesh/etah/news" TargetMode="External"/><Relationship Id="rId343" Type="http://schemas.openxmlformats.org/officeDocument/2006/relationships/hyperlink" Target="https://navbharattimes.indiatimes.com/state/uttar-pradesh/kaushambi/articlelist/92989659.cms" TargetMode="External"/><Relationship Id="rId464" Type="http://schemas.openxmlformats.org/officeDocument/2006/relationships/hyperlink" Target="https://www.patrika.com/kannauj-news" TargetMode="External"/><Relationship Id="rId100" Type="http://schemas.openxmlformats.org/officeDocument/2006/relationships/hyperlink" Target="https://www.amarujala.com/rss/mahoba.xml" TargetMode="External"/><Relationship Id="rId221" Type="http://schemas.openxmlformats.org/officeDocument/2006/relationships/hyperlink" Target="https://feed.livehindustan.com/rss/5064" TargetMode="External"/><Relationship Id="rId342" Type="http://schemas.openxmlformats.org/officeDocument/2006/relationships/hyperlink" Target="https://navbharattimes.indiatimes.com/state/uttar-pradesh/kanpur/articlelist/5194950.cms" TargetMode="External"/><Relationship Id="rId463" Type="http://schemas.openxmlformats.org/officeDocument/2006/relationships/hyperlink" Target="https://cms.patrika.com/blog/location/farrukhabad-news/feed/" TargetMode="External"/><Relationship Id="rId217" Type="http://schemas.openxmlformats.org/officeDocument/2006/relationships/hyperlink" Target="https://feed.livehindustan.com/rss/5062" TargetMode="External"/><Relationship Id="rId338" Type="http://schemas.openxmlformats.org/officeDocument/2006/relationships/hyperlink" Target="https://navbharattimes.indiatimes.com/state/uttar-pradesh/hardoi/articlelist/92989699.cms" TargetMode="External"/><Relationship Id="rId459" Type="http://schemas.openxmlformats.org/officeDocument/2006/relationships/hyperlink" Target="https://cms.patrika.com/blog/location/lalitpur-news/feed/" TargetMode="External"/><Relationship Id="rId216" Type="http://schemas.openxmlformats.org/officeDocument/2006/relationships/hyperlink" Target="https://www.livehindustan.com/uttar-pradesh/lakhimpur-kheri/news" TargetMode="External"/><Relationship Id="rId337" Type="http://schemas.openxmlformats.org/officeDocument/2006/relationships/hyperlink" Target="https://navbharattimes.indiatimes.com/state/uttar-pradesh/hapur/articlelist/92989677.cms" TargetMode="External"/><Relationship Id="rId458" Type="http://schemas.openxmlformats.org/officeDocument/2006/relationships/hyperlink" Target="https://www.patrika.com/lalitpur-news" TargetMode="External"/><Relationship Id="rId215" Type="http://schemas.openxmlformats.org/officeDocument/2006/relationships/hyperlink" Target="https://feed.livehindustan.com/rss/5061" TargetMode="External"/><Relationship Id="rId336" Type="http://schemas.openxmlformats.org/officeDocument/2006/relationships/hyperlink" Target="https://navbharattimes.indiatimes.com/state/uttar-pradesh/hamirpur/articlelist/92989708.cms" TargetMode="External"/><Relationship Id="rId457" Type="http://schemas.openxmlformats.org/officeDocument/2006/relationships/hyperlink" Target="https://cms.patrika.com/blog/location/jhansi-news/feed/" TargetMode="External"/><Relationship Id="rId214" Type="http://schemas.openxmlformats.org/officeDocument/2006/relationships/hyperlink" Target="https://www.livehindustan.com/uttar-pradesh/badaun/news" TargetMode="External"/><Relationship Id="rId335" Type="http://schemas.openxmlformats.org/officeDocument/2006/relationships/hyperlink" Target="https://navbharattimes.indiatimes.com/state/uttar-pradesh/gonda/articlelist/92989542.cms" TargetMode="External"/><Relationship Id="rId456" Type="http://schemas.openxmlformats.org/officeDocument/2006/relationships/hyperlink" Target="https://www.patrika.com/jhansi-news" TargetMode="External"/><Relationship Id="rId219" Type="http://schemas.openxmlformats.org/officeDocument/2006/relationships/hyperlink" Target="https://feed.livehindustan.com/rss/5063" TargetMode="External"/><Relationship Id="rId218" Type="http://schemas.openxmlformats.org/officeDocument/2006/relationships/hyperlink" Target="https://www.livehindustan.com/uttar-pradesh/pilibhit/news" TargetMode="External"/><Relationship Id="rId339" Type="http://schemas.openxmlformats.org/officeDocument/2006/relationships/hyperlink" Target="https://navbharattimes.indiatimes.com/state/uttar-pradesh/jaunpur/articlelist/92989849.cms" TargetMode="External"/><Relationship Id="rId330" Type="http://schemas.openxmlformats.org/officeDocument/2006/relationships/hyperlink" Target="https://navbharattimes.indiatimes.com/state/uttar-pradesh/chitrakoot/articlelist/92989572.cms" TargetMode="External"/><Relationship Id="rId451" Type="http://schemas.openxmlformats.org/officeDocument/2006/relationships/hyperlink" Target="https://cms.patrika.com/blog/location/kushinagar-news/feed/" TargetMode="External"/><Relationship Id="rId450" Type="http://schemas.openxmlformats.org/officeDocument/2006/relationships/hyperlink" Target="https://www.patrika.com/kushinagar-news" TargetMode="External"/><Relationship Id="rId213" Type="http://schemas.openxmlformats.org/officeDocument/2006/relationships/hyperlink" Target="https://feed.livehindustan.com/rss/5058" TargetMode="External"/><Relationship Id="rId334" Type="http://schemas.openxmlformats.org/officeDocument/2006/relationships/hyperlink" Target="https://navbharattimes.indiatimes.com/state/uttar-pradesh/ghazipur/articlelist/92989634.cms" TargetMode="External"/><Relationship Id="rId455" Type="http://schemas.openxmlformats.org/officeDocument/2006/relationships/hyperlink" Target="https://cms.patrika.com/blog/location/jalaun-news/feed/" TargetMode="External"/><Relationship Id="rId212" Type="http://schemas.openxmlformats.org/officeDocument/2006/relationships/hyperlink" Target="https://www.livehindustan.com/uttar-pradesh/saharanpur/news" TargetMode="External"/><Relationship Id="rId333" Type="http://schemas.openxmlformats.org/officeDocument/2006/relationships/hyperlink" Target="https://navbharattimes.indiatimes.com/state/uttar-pradesh/fatehpur/articlelist/92989835.cms" TargetMode="External"/><Relationship Id="rId454" Type="http://schemas.openxmlformats.org/officeDocument/2006/relationships/hyperlink" Target="https://www.patrika.com/jalaun-news" TargetMode="External"/><Relationship Id="rId211" Type="http://schemas.openxmlformats.org/officeDocument/2006/relationships/hyperlink" Target="https://feed.livehindustan.com/rss/5057" TargetMode="External"/><Relationship Id="rId332" Type="http://schemas.openxmlformats.org/officeDocument/2006/relationships/hyperlink" Target="https://navbharattimes.indiatimes.com/state/uttar-pradesh/farrukhabad/articlelist/92989831.cms" TargetMode="External"/><Relationship Id="rId453" Type="http://schemas.openxmlformats.org/officeDocument/2006/relationships/hyperlink" Target="https://cms.patrika.com/blog/location/mahrajganj-news/feed/" TargetMode="External"/><Relationship Id="rId210" Type="http://schemas.openxmlformats.org/officeDocument/2006/relationships/hyperlink" Target="https://www.livehindustan.com/uttar-pradesh/muzaffarnagar/news" TargetMode="External"/><Relationship Id="rId331" Type="http://schemas.openxmlformats.org/officeDocument/2006/relationships/hyperlink" Target="https://navbharattimes.indiatimes.com/state/uttar-pradesh/etawah/articlelist/92989625.cms" TargetMode="External"/><Relationship Id="rId452" Type="http://schemas.openxmlformats.org/officeDocument/2006/relationships/hyperlink" Target="https://www.patrika.com/mahrajganj-news" TargetMode="External"/><Relationship Id="rId370" Type="http://schemas.openxmlformats.org/officeDocument/2006/relationships/hyperlink" Target="https://www.patrika.com/uttar-pradesh-news" TargetMode="External"/><Relationship Id="rId491" Type="http://schemas.openxmlformats.org/officeDocument/2006/relationships/hyperlink" Target="https://cms.patrika.com/blog/location/ghazipur-news/feed/" TargetMode="External"/><Relationship Id="rId490" Type="http://schemas.openxmlformats.org/officeDocument/2006/relationships/hyperlink" Target="https://www.patrika.com/ghazipur-news" TargetMode="External"/><Relationship Id="rId129" Type="http://schemas.openxmlformats.org/officeDocument/2006/relationships/hyperlink" Target="https://www.amarujala.com/uttar-pradesh/sambhal" TargetMode="External"/><Relationship Id="rId128" Type="http://schemas.openxmlformats.org/officeDocument/2006/relationships/hyperlink" Target="https://www.amarujala.com/rss/sant-kabir-nagar.xml" TargetMode="External"/><Relationship Id="rId249" Type="http://schemas.openxmlformats.org/officeDocument/2006/relationships/hyperlink" Target="https://feed.livehindustan.com/rss/896272" TargetMode="External"/><Relationship Id="rId127" Type="http://schemas.openxmlformats.org/officeDocument/2006/relationships/hyperlink" Target="https://www.amarujala.com/uttar-pradesh/sant-kabir-nagar" TargetMode="External"/><Relationship Id="rId248" Type="http://schemas.openxmlformats.org/officeDocument/2006/relationships/hyperlink" Target="https://www.livehindustan.com/uttar-pradesh/fatehpur/news" TargetMode="External"/><Relationship Id="rId369" Type="http://schemas.openxmlformats.org/officeDocument/2006/relationships/hyperlink" Target="https://ballialive.in/?fbclid=IwY2xjawJ1zNlleHRuA2FlbQIxMABicmlkETF2WFZlUjhyQU92OFA2RTNQAR5wjtc8rq5x4hk7mzp2Cn-Quew9zDayy114SiP-0UikZGdBudZSBua0uo84IA_aem_ZxxWkUQc_iWhbHYE80IZQg" TargetMode="External"/><Relationship Id="rId126" Type="http://schemas.openxmlformats.org/officeDocument/2006/relationships/hyperlink" Target="https://www.amarujala.com/rss/shravasti.xml" TargetMode="External"/><Relationship Id="rId247" Type="http://schemas.openxmlformats.org/officeDocument/2006/relationships/hyperlink" Target="https://feed.livehindustan.com/rss/5075" TargetMode="External"/><Relationship Id="rId368" Type="http://schemas.openxmlformats.org/officeDocument/2006/relationships/hyperlink" Target="https://ballialive.in/?fbclid=IwY2xjawJ1zNlleHRuA2FlbQIxMABicmlkETF2WFZlUjhyQU92OFA2RTNQAR5wjtc8rq5x4hk7mzp2Cn-Quew9zDayy114SiP-0UikZGdBudZSBua0uo84IA_aem_ZxxWkUQc_iWhbHYE80IZQg" TargetMode="External"/><Relationship Id="rId489" Type="http://schemas.openxmlformats.org/officeDocument/2006/relationships/hyperlink" Target="https://cms.patrika.com/blog/location/ghaziabad-news/feed/" TargetMode="External"/><Relationship Id="rId121" Type="http://schemas.openxmlformats.org/officeDocument/2006/relationships/hyperlink" Target="https://www.amarujala.com/uttar-pradesh/shamli" TargetMode="External"/><Relationship Id="rId242" Type="http://schemas.openxmlformats.org/officeDocument/2006/relationships/hyperlink" Target="https://www.livehindustan.com/uttar-pradesh/faizabad/news" TargetMode="External"/><Relationship Id="rId363" Type="http://schemas.openxmlformats.org/officeDocument/2006/relationships/hyperlink" Target="https://public.app/city/news-in-maharajganj" TargetMode="External"/><Relationship Id="rId484" Type="http://schemas.openxmlformats.org/officeDocument/2006/relationships/hyperlink" Target="https://www.patrika.com/greater-noida-news" TargetMode="External"/><Relationship Id="rId120" Type="http://schemas.openxmlformats.org/officeDocument/2006/relationships/hyperlink" Target="https://www.amarujala.com/rss/varanasi.xml" TargetMode="External"/><Relationship Id="rId241" Type="http://schemas.openxmlformats.org/officeDocument/2006/relationships/hyperlink" Target="https://feed.livehindustan.com/rss/5072" TargetMode="External"/><Relationship Id="rId362" Type="http://schemas.openxmlformats.org/officeDocument/2006/relationships/hyperlink" Target="https://www.inextlive.com/uttar-pradesh/gorakhpur/" TargetMode="External"/><Relationship Id="rId483" Type="http://schemas.openxmlformats.org/officeDocument/2006/relationships/hyperlink" Target="https://cms.patrika.com/blog/location/bulandshahr-news/feed/" TargetMode="External"/><Relationship Id="rId240" Type="http://schemas.openxmlformats.org/officeDocument/2006/relationships/hyperlink" Target="https://www.livehindustan.com/uttar-pradesh/bahraich/news" TargetMode="External"/><Relationship Id="rId361" Type="http://schemas.openxmlformats.org/officeDocument/2006/relationships/hyperlink" Target="https://chandaulisamachar.com/" TargetMode="External"/><Relationship Id="rId482" Type="http://schemas.openxmlformats.org/officeDocument/2006/relationships/hyperlink" Target="https://www.patrika.com/bulandshahr-news" TargetMode="External"/><Relationship Id="rId360" Type="http://schemas.openxmlformats.org/officeDocument/2006/relationships/hyperlink" Target="https://navbharattimes.indiatimes.com/state/uttar-pradesh/unnao/articlelist/92989661.cms" TargetMode="External"/><Relationship Id="rId481" Type="http://schemas.openxmlformats.org/officeDocument/2006/relationships/hyperlink" Target="https://cms.patrika.com/blog/location/bagpat-news/feed/" TargetMode="External"/><Relationship Id="rId125" Type="http://schemas.openxmlformats.org/officeDocument/2006/relationships/hyperlink" Target="https://www.amarujala.com/uttar-pradesh/shravasti" TargetMode="External"/><Relationship Id="rId246" Type="http://schemas.openxmlformats.org/officeDocument/2006/relationships/hyperlink" Target="https://www.livehindustan.com/uttar-pradesh/raebareli/news" TargetMode="External"/><Relationship Id="rId367" Type="http://schemas.openxmlformats.org/officeDocument/2006/relationships/hyperlink" Target="https://www.azmlive.in/?fbclid=IwY2xjawJ1zIpleHRuA2FlbQIxMABicmlkETF2WFZlUjhyQU92OFA2RTNQAR6_7bPismvJpa-N4MHCrDfdr1qrhhYNLRTuRmgamJ0ckzmSjnXfZPvTv_0iKA_aem_V6sLAOMA0k463I7zkrihkg" TargetMode="External"/><Relationship Id="rId488" Type="http://schemas.openxmlformats.org/officeDocument/2006/relationships/hyperlink" Target="https://www.patrika.com/ghaziabad-news" TargetMode="External"/><Relationship Id="rId124" Type="http://schemas.openxmlformats.org/officeDocument/2006/relationships/hyperlink" Target="https://www.amarujala.com/rss/shahjahanpur.xml" TargetMode="External"/><Relationship Id="rId245" Type="http://schemas.openxmlformats.org/officeDocument/2006/relationships/hyperlink" Target="https://feed.livehindustan.com/rss/5074" TargetMode="External"/><Relationship Id="rId366" Type="http://schemas.openxmlformats.org/officeDocument/2006/relationships/hyperlink" Target="https://thedeoriatimes.com/" TargetMode="External"/><Relationship Id="rId487" Type="http://schemas.openxmlformats.org/officeDocument/2006/relationships/hyperlink" Target="https://cms.patrika.com/blog/location/noida-news/feed/" TargetMode="External"/><Relationship Id="rId123" Type="http://schemas.openxmlformats.org/officeDocument/2006/relationships/hyperlink" Target="https://www.amarujala.com/uttar-pradesh/shahjahanpur" TargetMode="External"/><Relationship Id="rId244" Type="http://schemas.openxmlformats.org/officeDocument/2006/relationships/hyperlink" Target="https://www.livehindustan.com/uttar-pradesh/gonda/news" TargetMode="External"/><Relationship Id="rId365" Type="http://schemas.openxmlformats.org/officeDocument/2006/relationships/hyperlink" Target="https://www.friendstimes.in/?fbclid=IwY2xjawJ1y8pleHRuA2FlbQIxMABicmlkETF2WFZlUjhyQU92OFA2RTNQAR5goupmSiB43pAvaJ_JSJs-_zJOke7_jh-uCpdsBn9YZoqr2zF2PYtsH0_5og_aem_aiZhpN6YWfFeFkEPKPnbRQ" TargetMode="External"/><Relationship Id="rId486" Type="http://schemas.openxmlformats.org/officeDocument/2006/relationships/hyperlink" Target="https://www.patrika.com/noida-news" TargetMode="External"/><Relationship Id="rId122" Type="http://schemas.openxmlformats.org/officeDocument/2006/relationships/hyperlink" Target="https://www.amarujala.com/rss/shamli.xml" TargetMode="External"/><Relationship Id="rId243" Type="http://schemas.openxmlformats.org/officeDocument/2006/relationships/hyperlink" Target="https://feed.livehindustan.com/rss/5073" TargetMode="External"/><Relationship Id="rId364" Type="http://schemas.openxmlformats.org/officeDocument/2006/relationships/hyperlink" Target="https://www.thevirallines.net/" TargetMode="External"/><Relationship Id="rId485" Type="http://schemas.openxmlformats.org/officeDocument/2006/relationships/hyperlink" Target="https://cms.patrika.com/blog/location/greater-noida-news/feed/" TargetMode="External"/><Relationship Id="rId95" Type="http://schemas.openxmlformats.org/officeDocument/2006/relationships/hyperlink" Target="https://www.amarujala.com/uttar-pradesh/mathura" TargetMode="External"/><Relationship Id="rId94" Type="http://schemas.openxmlformats.org/officeDocument/2006/relationships/hyperlink" Target="https://www.amarujala.com/rss/mau.xml" TargetMode="External"/><Relationship Id="rId97" Type="http://schemas.openxmlformats.org/officeDocument/2006/relationships/hyperlink" Target="https://www.amarujala.com/uttar-pradesh/maharajganj" TargetMode="External"/><Relationship Id="rId96" Type="http://schemas.openxmlformats.org/officeDocument/2006/relationships/hyperlink" Target="https://www.amarujala.com/rss/mathura.xml" TargetMode="External"/><Relationship Id="rId99" Type="http://schemas.openxmlformats.org/officeDocument/2006/relationships/hyperlink" Target="https://www.amarujala.com/uttar-pradesh/mahoba" TargetMode="External"/><Relationship Id="rId480" Type="http://schemas.openxmlformats.org/officeDocument/2006/relationships/hyperlink" Target="https://www.patrika.com/bagpat-news" TargetMode="External"/><Relationship Id="rId98" Type="http://schemas.openxmlformats.org/officeDocument/2006/relationships/hyperlink" Target="https://www.amarujala.com/rss/maharajganj.xml" TargetMode="External"/><Relationship Id="rId91" Type="http://schemas.openxmlformats.org/officeDocument/2006/relationships/hyperlink" Target="https://www.amarujala.com/uttar-pradesh/bhadohi" TargetMode="External"/><Relationship Id="rId90" Type="http://schemas.openxmlformats.org/officeDocument/2006/relationships/hyperlink" Target="https://www.amarujala.com/rss/bulandshahr.xml" TargetMode="External"/><Relationship Id="rId93" Type="http://schemas.openxmlformats.org/officeDocument/2006/relationships/hyperlink" Target="https://www.amarujala.com/uttar-pradesh/mau" TargetMode="External"/><Relationship Id="rId92" Type="http://schemas.openxmlformats.org/officeDocument/2006/relationships/hyperlink" Target="https://www.amarujala.com/rss/bhadohi.xml" TargetMode="External"/><Relationship Id="rId118" Type="http://schemas.openxmlformats.org/officeDocument/2006/relationships/hyperlink" Target="https://www.amarujala.com/rss/lalitpur.xml" TargetMode="External"/><Relationship Id="rId239" Type="http://schemas.openxmlformats.org/officeDocument/2006/relationships/hyperlink" Target="https://feed.livehindustan.com/rss/5070" TargetMode="External"/><Relationship Id="rId117" Type="http://schemas.openxmlformats.org/officeDocument/2006/relationships/hyperlink" Target="https://www.amarujala.com/uttar-pradesh/lalitpur" TargetMode="External"/><Relationship Id="rId238" Type="http://schemas.openxmlformats.org/officeDocument/2006/relationships/hyperlink" Target="https://www.livehindustan.com/uttar-pradesh/balrampur/news" TargetMode="External"/><Relationship Id="rId359" Type="http://schemas.openxmlformats.org/officeDocument/2006/relationships/hyperlink" Target="https://navbharattimes.indiatimes.com/state/uttar-pradesh/sonbhadra/articlelist/92989719.cms" TargetMode="External"/><Relationship Id="rId116" Type="http://schemas.openxmlformats.org/officeDocument/2006/relationships/hyperlink" Target="https://www.amarujala.com/rss/lakhimpur-kheri.xml" TargetMode="External"/><Relationship Id="rId237" Type="http://schemas.openxmlformats.org/officeDocument/2006/relationships/hyperlink" Target="https://feed.livehindustan.com/rss/1237909" TargetMode="External"/><Relationship Id="rId358" Type="http://schemas.openxmlformats.org/officeDocument/2006/relationships/hyperlink" Target="https://navbharattimes.indiatimes.com/state/uttar-pradesh/siddharthnagar/articlelist/92989723.cms" TargetMode="External"/><Relationship Id="rId479" Type="http://schemas.openxmlformats.org/officeDocument/2006/relationships/hyperlink" Target="https://cms.patrika.com/blog/location/unnao-news/feed/" TargetMode="External"/><Relationship Id="rId115" Type="http://schemas.openxmlformats.org/officeDocument/2006/relationships/hyperlink" Target="https://www.amarujala.com/uttar-pradesh/lakhimpur-kheri" TargetMode="External"/><Relationship Id="rId236" Type="http://schemas.openxmlformats.org/officeDocument/2006/relationships/hyperlink" Target="https://www.livehindustan.com/uttar-pradesh/shravasti/news" TargetMode="External"/><Relationship Id="rId357" Type="http://schemas.openxmlformats.org/officeDocument/2006/relationships/hyperlink" Target="https://navbharattimes.indiatimes.com/state/uttar-pradesh/shravasti/articlelist/92989746.cms" TargetMode="External"/><Relationship Id="rId478" Type="http://schemas.openxmlformats.org/officeDocument/2006/relationships/hyperlink" Target="https://www.patrika.com/unnao-news" TargetMode="External"/><Relationship Id="rId119" Type="http://schemas.openxmlformats.org/officeDocument/2006/relationships/hyperlink" Target="https://www.amarujala.com/uttar-pradesh/varanasi" TargetMode="External"/><Relationship Id="rId110" Type="http://schemas.openxmlformats.org/officeDocument/2006/relationships/hyperlink" Target="https://www.amarujala.com/rss/meerut.xml" TargetMode="External"/><Relationship Id="rId231" Type="http://schemas.openxmlformats.org/officeDocument/2006/relationships/hyperlink" Target="https://feed.livehindustan.com/rss/5069" TargetMode="External"/><Relationship Id="rId352" Type="http://schemas.openxmlformats.org/officeDocument/2006/relationships/hyperlink" Target="https://navbharattimes.indiatimes.com/state/uttar-pradesh/raebareli/articlelist/75575044.cms" TargetMode="External"/><Relationship Id="rId473" Type="http://schemas.openxmlformats.org/officeDocument/2006/relationships/hyperlink" Target="https://cms.patrika.com/blog/location/lucknow-news/feed/" TargetMode="External"/><Relationship Id="rId230" Type="http://schemas.openxmlformats.org/officeDocument/2006/relationships/hyperlink" Target="https://www.livehindustan.com/uttar-pradesh/ambedkar-nagar/news" TargetMode="External"/><Relationship Id="rId351" Type="http://schemas.openxmlformats.org/officeDocument/2006/relationships/hyperlink" Target="https://navbharattimes.indiatimes.com/state/uttar-pradesh/moradabad/articlelist/75575184.cms" TargetMode="External"/><Relationship Id="rId472" Type="http://schemas.openxmlformats.org/officeDocument/2006/relationships/hyperlink" Target="https://www.patrika.com/lucknow-news" TargetMode="External"/><Relationship Id="rId350" Type="http://schemas.openxmlformats.org/officeDocument/2006/relationships/hyperlink" Target="https://navbharattimes.indiatimes.com/state/uttar-pradesh/mirzapur/articlelist/75575063.cms" TargetMode="External"/><Relationship Id="rId471" Type="http://schemas.openxmlformats.org/officeDocument/2006/relationships/hyperlink" Target="https://cms.patrika.com/blog/location/lakhimpur-kheri-news/feed/" TargetMode="External"/><Relationship Id="rId470" Type="http://schemas.openxmlformats.org/officeDocument/2006/relationships/hyperlink" Target="https://www.patrika.com/lakhimpur-kheri-news" TargetMode="External"/><Relationship Id="rId114" Type="http://schemas.openxmlformats.org/officeDocument/2006/relationships/hyperlink" Target="https://www.amarujala.com/rss/raebareli.xml" TargetMode="External"/><Relationship Id="rId235" Type="http://schemas.openxmlformats.org/officeDocument/2006/relationships/hyperlink" Target="https://feed.livehindustan.com/rss/1237908" TargetMode="External"/><Relationship Id="rId356" Type="http://schemas.openxmlformats.org/officeDocument/2006/relationships/hyperlink" Target="https://navbharattimes.indiatimes.com/rssfeedsdefault.cms" TargetMode="External"/><Relationship Id="rId477" Type="http://schemas.openxmlformats.org/officeDocument/2006/relationships/hyperlink" Target="https://cms.patrika.com/blog/location/sitapur-news/feed/" TargetMode="External"/><Relationship Id="rId113" Type="http://schemas.openxmlformats.org/officeDocument/2006/relationships/hyperlink" Target="https://www.amarujala.com/uttar-pradesh/raebareli" TargetMode="External"/><Relationship Id="rId234" Type="http://schemas.openxmlformats.org/officeDocument/2006/relationships/hyperlink" Target="https://www.livehindustan.com/uttar-pradesh/gauriganj/news" TargetMode="External"/><Relationship Id="rId355" Type="http://schemas.openxmlformats.org/officeDocument/2006/relationships/hyperlink" Target="https://navbharattimes.indiatimes.com/state/uttar-pradesh/shamli/articlelist/92989748.cms" TargetMode="External"/><Relationship Id="rId476" Type="http://schemas.openxmlformats.org/officeDocument/2006/relationships/hyperlink" Target="https://www.patrika.com/sitapur-news" TargetMode="External"/><Relationship Id="rId112" Type="http://schemas.openxmlformats.org/officeDocument/2006/relationships/hyperlink" Target="https://www.amarujala.com/rss/rampur.xml" TargetMode="External"/><Relationship Id="rId233" Type="http://schemas.openxmlformats.org/officeDocument/2006/relationships/hyperlink" Target="https://feed.livehindustan.com/rss/1237907" TargetMode="External"/><Relationship Id="rId354" Type="http://schemas.openxmlformats.org/officeDocument/2006/relationships/hyperlink" Target="https://navbharattimes.indiatimes.com/state/uttar-pradesh/sant-kabir-nagar/articlelist/92989739.cms" TargetMode="External"/><Relationship Id="rId475" Type="http://schemas.openxmlformats.org/officeDocument/2006/relationships/hyperlink" Target="https://cms.patrika.com/blog/location/raebareli-news/feed/" TargetMode="External"/><Relationship Id="rId111" Type="http://schemas.openxmlformats.org/officeDocument/2006/relationships/hyperlink" Target="https://www.amarujala.com/uttar-pradesh/rampur" TargetMode="External"/><Relationship Id="rId232" Type="http://schemas.openxmlformats.org/officeDocument/2006/relationships/hyperlink" Target="https://www.livehindustan.com/uttar-pradesh/amethi/news" TargetMode="External"/><Relationship Id="rId353" Type="http://schemas.openxmlformats.org/officeDocument/2006/relationships/hyperlink" Target="https://navbharattimes.indiatimes.com/state/uttar-pradesh/sambhal/articlelist/92989724.cms" TargetMode="External"/><Relationship Id="rId474" Type="http://schemas.openxmlformats.org/officeDocument/2006/relationships/hyperlink" Target="https://www.patrika.com/raebareli-news" TargetMode="External"/><Relationship Id="rId305" Type="http://schemas.openxmlformats.org/officeDocument/2006/relationships/hyperlink" Target="https://navbharattimes.indiatimes.com/state/uttar-pradesh/aligarh/articlelist/75575224.cms" TargetMode="External"/><Relationship Id="rId426" Type="http://schemas.openxmlformats.org/officeDocument/2006/relationships/hyperlink" Target="https://www.patrika.com/bahraich-news" TargetMode="External"/><Relationship Id="rId304" Type="http://schemas.openxmlformats.org/officeDocument/2006/relationships/hyperlink" Target="https://navbharattimes.indiatimes.com/state/uttar-pradesh/gorakhpur/articlelist/61483701.cms" TargetMode="External"/><Relationship Id="rId425" Type="http://schemas.openxmlformats.org/officeDocument/2006/relationships/hyperlink" Target="https://cms.patrika.com/blog/location/mahoba-news/feed/" TargetMode="External"/><Relationship Id="rId303" Type="http://schemas.openxmlformats.org/officeDocument/2006/relationships/hyperlink" Target="https://navbharattimes.indiatimes.com/state/uttar-pradesh/ayodhya/articlelist/19987335.cms" TargetMode="External"/><Relationship Id="rId424" Type="http://schemas.openxmlformats.org/officeDocument/2006/relationships/hyperlink" Target="https://www.patrika.com/mahoba-news" TargetMode="External"/><Relationship Id="rId302" Type="http://schemas.openxmlformats.org/officeDocument/2006/relationships/hyperlink" Target="https://navbharattimes.indiatimes.com/state/uttar-pradesh/mathura/articlelist/19928262.cms" TargetMode="External"/><Relationship Id="rId423" Type="http://schemas.openxmlformats.org/officeDocument/2006/relationships/hyperlink" Target="https://cms.patrika.com/blog/location/hamirpur-news/feed/" TargetMode="External"/><Relationship Id="rId309" Type="http://schemas.openxmlformats.org/officeDocument/2006/relationships/hyperlink" Target="https://navbharattimes.indiatimes.com/state/uttar-pradesh/meerut/articlelist/11364157.cms" TargetMode="External"/><Relationship Id="rId308" Type="http://schemas.openxmlformats.org/officeDocument/2006/relationships/hyperlink" Target="https://navbharattimes.indiatimes.com/state/uttar-pradesh/allahabad/articlelist/5195544.cms" TargetMode="External"/><Relationship Id="rId429" Type="http://schemas.openxmlformats.org/officeDocument/2006/relationships/hyperlink" Target="https://cms.patrika.com/blog/location/balrampur-up-news/feed/" TargetMode="External"/><Relationship Id="rId307" Type="http://schemas.openxmlformats.org/officeDocument/2006/relationships/hyperlink" Target="https://navbharattimes.indiatimes.com/state/uttar-pradesh/varanasi/articlelist/61483673.cms" TargetMode="External"/><Relationship Id="rId428" Type="http://schemas.openxmlformats.org/officeDocument/2006/relationships/hyperlink" Target="https://www.patrika.com/balrampur-news" TargetMode="External"/><Relationship Id="rId306" Type="http://schemas.openxmlformats.org/officeDocument/2006/relationships/hyperlink" Target="https://navbharattimes.indiatimes.com/state/uttar-pradesh/agra/articlelist/61483684.cms" TargetMode="External"/><Relationship Id="rId427" Type="http://schemas.openxmlformats.org/officeDocument/2006/relationships/hyperlink" Target="https://cms.patrika.com/blog/location/bahraich-news/feed/" TargetMode="External"/><Relationship Id="rId301" Type="http://schemas.openxmlformats.org/officeDocument/2006/relationships/hyperlink" Target="https://navbharattimes.indiatimes.com/state/uttar-pradesh/articlelist/21236867.cms" TargetMode="External"/><Relationship Id="rId422" Type="http://schemas.openxmlformats.org/officeDocument/2006/relationships/hyperlink" Target="https://www.patrika.com/hamirpur-news" TargetMode="External"/><Relationship Id="rId300" Type="http://schemas.openxmlformats.org/officeDocument/2006/relationships/hyperlink" Target="https://timesofindia.indiatimes.com/rssfeeds/-2128819658.cms" TargetMode="External"/><Relationship Id="rId421" Type="http://schemas.openxmlformats.org/officeDocument/2006/relationships/hyperlink" Target="https://cms.patrika.com/blog/location/chitrakoot-news/feed/" TargetMode="External"/><Relationship Id="rId420" Type="http://schemas.openxmlformats.org/officeDocument/2006/relationships/hyperlink" Target="https://www.patrika.com/chitrakoot-news" TargetMode="External"/><Relationship Id="rId415" Type="http://schemas.openxmlformats.org/officeDocument/2006/relationships/hyperlink" Target="https://cms.patrika.com/blog/location/sant-kabir-nagar-news/feed/" TargetMode="External"/><Relationship Id="rId414" Type="http://schemas.openxmlformats.org/officeDocument/2006/relationships/hyperlink" Target="https://www.patrika.com/sant-kabir-nagar-news" TargetMode="External"/><Relationship Id="rId413" Type="http://schemas.openxmlformats.org/officeDocument/2006/relationships/hyperlink" Target="https://cms.patrika.com/blog/location/basti-news/feed/" TargetMode="External"/><Relationship Id="rId412" Type="http://schemas.openxmlformats.org/officeDocument/2006/relationships/hyperlink" Target="https://www.patrika.com/basti-news" TargetMode="External"/><Relationship Id="rId419" Type="http://schemas.openxmlformats.org/officeDocument/2006/relationships/hyperlink" Target="https://cms.patrika.com/blog/location/banda-news/feed/" TargetMode="External"/><Relationship Id="rId418" Type="http://schemas.openxmlformats.org/officeDocument/2006/relationships/hyperlink" Target="https://www.patrika.com/banda-news" TargetMode="External"/><Relationship Id="rId417" Type="http://schemas.openxmlformats.org/officeDocument/2006/relationships/hyperlink" Target="https://cms.patrika.com/blog/location/sidharthnagar-news/feed/" TargetMode="External"/><Relationship Id="rId416" Type="http://schemas.openxmlformats.org/officeDocument/2006/relationships/hyperlink" Target="https://www.patrika.com/sidharthnagar-news" TargetMode="External"/><Relationship Id="rId411" Type="http://schemas.openxmlformats.org/officeDocument/2006/relationships/hyperlink" Target="https://cms.patrika.com/blog/location/shahjahanpur-news/feed/" TargetMode="External"/><Relationship Id="rId410" Type="http://schemas.openxmlformats.org/officeDocument/2006/relationships/hyperlink" Target="https://www.patrika.com/shahjahanpur-news" TargetMode="External"/><Relationship Id="rId206" Type="http://schemas.openxmlformats.org/officeDocument/2006/relationships/hyperlink" Target="https://www.livehindustan.com/uttar-pradesh/bulandshahr/news" TargetMode="External"/><Relationship Id="rId327" Type="http://schemas.openxmlformats.org/officeDocument/2006/relationships/hyperlink" Target="https://navbharattimes.indiatimes.com/state/uttar-pradesh/bhadohi/articlelist/92989735.cms" TargetMode="External"/><Relationship Id="rId448" Type="http://schemas.openxmlformats.org/officeDocument/2006/relationships/hyperlink" Target="https://www.patrika.com/gorakhpur-news" TargetMode="External"/><Relationship Id="rId205" Type="http://schemas.openxmlformats.org/officeDocument/2006/relationships/hyperlink" Target="https://feed.livehindustan.com/rss/5053" TargetMode="External"/><Relationship Id="rId326" Type="http://schemas.openxmlformats.org/officeDocument/2006/relationships/hyperlink" Target="https://navbharattimes.indiatimes.com/state/uttar-pradesh/basti/articlelist/92989793.cms" TargetMode="External"/><Relationship Id="rId447" Type="http://schemas.openxmlformats.org/officeDocument/2006/relationships/hyperlink" Target="https://cms.patrika.com/blog/location/deoria-news/feed/" TargetMode="External"/><Relationship Id="rId204" Type="http://schemas.openxmlformats.org/officeDocument/2006/relationships/hyperlink" Target="https://www.livehindustan.com/uttar-pradesh/bijnor/news" TargetMode="External"/><Relationship Id="rId325" Type="http://schemas.openxmlformats.org/officeDocument/2006/relationships/hyperlink" Target="https://navbharattimes.indiatimes.com/state/uttar-pradesh/bareilly/articlelist/75575203.cms" TargetMode="External"/><Relationship Id="rId446" Type="http://schemas.openxmlformats.org/officeDocument/2006/relationships/hyperlink" Target="https://www.patrika.com/deoria-news" TargetMode="External"/><Relationship Id="rId203" Type="http://schemas.openxmlformats.org/officeDocument/2006/relationships/hyperlink" Target="https://feed.livehindustan.com/rss/1237906" TargetMode="External"/><Relationship Id="rId324" Type="http://schemas.openxmlformats.org/officeDocument/2006/relationships/hyperlink" Target="https://navbharattimes.indiatimes.com/state/uttar-pradesh/barabanki/articlelist/92989781.cms" TargetMode="External"/><Relationship Id="rId445" Type="http://schemas.openxmlformats.org/officeDocument/2006/relationships/hyperlink" Target="https://cms.patrika.com/blog/location/sultanpur-news/feed/" TargetMode="External"/><Relationship Id="rId209" Type="http://schemas.openxmlformats.org/officeDocument/2006/relationships/hyperlink" Target="https://feed.livehindustan.com/rss/5056" TargetMode="External"/><Relationship Id="rId208" Type="http://schemas.openxmlformats.org/officeDocument/2006/relationships/hyperlink" Target="https://www.livehindustan.com/uttar-pradesh/hapur/news" TargetMode="External"/><Relationship Id="rId329" Type="http://schemas.openxmlformats.org/officeDocument/2006/relationships/hyperlink" Target="https://navbharattimes.indiatimes.com/rssfeedsdefault.cms" TargetMode="External"/><Relationship Id="rId207" Type="http://schemas.openxmlformats.org/officeDocument/2006/relationships/hyperlink" Target="https://feed.livehindustan.com/rss/5054" TargetMode="External"/><Relationship Id="rId328" Type="http://schemas.openxmlformats.org/officeDocument/2006/relationships/hyperlink" Target="https://navbharattimes.indiatimes.com/state/uttar-pradesh/bijnor/articlelist/92989774.cms" TargetMode="External"/><Relationship Id="rId449" Type="http://schemas.openxmlformats.org/officeDocument/2006/relationships/hyperlink" Target="https://cms.patrika.com/blog/location/gorakhpur-news/feed/" TargetMode="External"/><Relationship Id="rId440" Type="http://schemas.openxmlformats.org/officeDocument/2006/relationships/hyperlink" Target="https://www.patrika.com/barabanki-news" TargetMode="External"/><Relationship Id="rId202" Type="http://schemas.openxmlformats.org/officeDocument/2006/relationships/hyperlink" Target="https://www.livehindustan.com/uttar-pradesh/shamli/news" TargetMode="External"/><Relationship Id="rId323" Type="http://schemas.openxmlformats.org/officeDocument/2006/relationships/hyperlink" Target="https://navbharattimes.indiatimes.com/state/uttar-pradesh/banda/articlelist/92989785.cms" TargetMode="External"/><Relationship Id="rId444" Type="http://schemas.openxmlformats.org/officeDocument/2006/relationships/hyperlink" Target="https://www.patrika.com/sultanpur-news" TargetMode="External"/><Relationship Id="rId201" Type="http://schemas.openxmlformats.org/officeDocument/2006/relationships/hyperlink" Target="https://feed.livehindustan.com/rss/5052" TargetMode="External"/><Relationship Id="rId322" Type="http://schemas.openxmlformats.org/officeDocument/2006/relationships/hyperlink" Target="https://navbharattimes.indiatimes.com/state/uttar-pradesh/ballia/articlelist/92989796.cms" TargetMode="External"/><Relationship Id="rId443" Type="http://schemas.openxmlformats.org/officeDocument/2006/relationships/hyperlink" Target="https://cms.patrika.com/blog/location/faizabad-news/feed/" TargetMode="External"/><Relationship Id="rId200" Type="http://schemas.openxmlformats.org/officeDocument/2006/relationships/hyperlink" Target="https://www.livehindustan.com/uttar-pradesh/bagpat/news" TargetMode="External"/><Relationship Id="rId321" Type="http://schemas.openxmlformats.org/officeDocument/2006/relationships/hyperlink" Target="https://navbharattimes.indiatimes.com/state/uttar-pradesh/baghpat/articlelist/19928219.cms" TargetMode="External"/><Relationship Id="rId442" Type="http://schemas.openxmlformats.org/officeDocument/2006/relationships/hyperlink" Target="https://www.patrika.com/faizabad-news" TargetMode="External"/><Relationship Id="rId320" Type="http://schemas.openxmlformats.org/officeDocument/2006/relationships/hyperlink" Target="https://navbharattimes.indiatimes.com/state/uttar-pradesh/auraiya/articlelist/92989626.cms" TargetMode="External"/><Relationship Id="rId441" Type="http://schemas.openxmlformats.org/officeDocument/2006/relationships/hyperlink" Target="https://cms.patrika.com/blog/location/barabanki-news/feed/" TargetMode="External"/><Relationship Id="rId316" Type="http://schemas.openxmlformats.org/officeDocument/2006/relationships/hyperlink" Target="https://jmdnewsflash.com/" TargetMode="External"/><Relationship Id="rId437" Type="http://schemas.openxmlformats.org/officeDocument/2006/relationships/hyperlink" Target="https://cms.patrika.com/blog/location/amethi-news/feed/" TargetMode="External"/><Relationship Id="rId315" Type="http://schemas.openxmlformats.org/officeDocument/2006/relationships/hyperlink" Target="https://navbharattimes.indiatimes.com/state/uttar-pradesh/bagpat/articlelist/75574968.cms" TargetMode="External"/><Relationship Id="rId436" Type="http://schemas.openxmlformats.org/officeDocument/2006/relationships/hyperlink" Target="https://www.patrika.com/amethi-news" TargetMode="External"/><Relationship Id="rId314" Type="http://schemas.openxmlformats.org/officeDocument/2006/relationships/hyperlink" Target="https://navbharattimes.indiatimes.com/state/uttar-pradesh/bulandshahr/articlelist/75574987.cms" TargetMode="External"/><Relationship Id="rId435" Type="http://schemas.openxmlformats.org/officeDocument/2006/relationships/hyperlink" Target="https://cms.patrika.com/blog/location/ambedkar-nagar-news/feed/" TargetMode="External"/><Relationship Id="rId313" Type="http://schemas.openxmlformats.org/officeDocument/2006/relationships/hyperlink" Target="https://navbharattimes.indiatimes.com/state/uttar-pradesh/ghaziabad/articlelist/75575006.cms" TargetMode="External"/><Relationship Id="rId434" Type="http://schemas.openxmlformats.org/officeDocument/2006/relationships/hyperlink" Target="https://www.patrika.com/ambedkar-nagar-news" TargetMode="External"/><Relationship Id="rId319" Type="http://schemas.openxmlformats.org/officeDocument/2006/relationships/hyperlink" Target="https://navbharattimes.indiatimes.com/state/uttar-pradesh/amethi/articlelist/92989585.cms" TargetMode="External"/><Relationship Id="rId318" Type="http://schemas.openxmlformats.org/officeDocument/2006/relationships/hyperlink" Target="https://www.amarujala.com/delhi-ncr/ghaziabad" TargetMode="External"/><Relationship Id="rId439" Type="http://schemas.openxmlformats.org/officeDocument/2006/relationships/hyperlink" Target="https://cms.patrika.com/blog/location/ayodhya-news/feed/" TargetMode="External"/><Relationship Id="rId317" Type="http://schemas.openxmlformats.org/officeDocument/2006/relationships/hyperlink" Target="https://jmdnewsflash.com/feed/" TargetMode="External"/><Relationship Id="rId438" Type="http://schemas.openxmlformats.org/officeDocument/2006/relationships/hyperlink" Target="https://www.patrika.com/ayodhya-news" TargetMode="External"/><Relationship Id="rId312" Type="http://schemas.openxmlformats.org/officeDocument/2006/relationships/hyperlink" Target="https://navbharattimes.indiatimes.com/city/shahjahanpur/bjp-mla-salona-kushwaha-heated-debate-with-police-officer/videoshow/120483081.cms" TargetMode="External"/><Relationship Id="rId433" Type="http://schemas.openxmlformats.org/officeDocument/2006/relationships/hyperlink" Target="https://cms.patrika.com/blog/location/shravasti-news/feed/" TargetMode="External"/><Relationship Id="rId311" Type="http://schemas.openxmlformats.org/officeDocument/2006/relationships/hyperlink" Target="https://navbharattimes.indiatimes.com/state/uttar-pradesh/moradabad/articlelist/75575184.cms" TargetMode="External"/><Relationship Id="rId432" Type="http://schemas.openxmlformats.org/officeDocument/2006/relationships/hyperlink" Target="https://www.patrika.com/shravasti-news" TargetMode="External"/><Relationship Id="rId310" Type="http://schemas.openxmlformats.org/officeDocument/2006/relationships/hyperlink" Target="https://navbharattimes.indiatimes.com/state/uttar-pradesh/bareilly/articlelist/75575203.cms" TargetMode="External"/><Relationship Id="rId431" Type="http://schemas.openxmlformats.org/officeDocument/2006/relationships/hyperlink" Target="https://cms.patrika.com/blog/location/gonda-news/feed/" TargetMode="External"/><Relationship Id="rId430" Type="http://schemas.openxmlformats.org/officeDocument/2006/relationships/hyperlink" Target="https://www.patrika.com/gonda-news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feed.livehindustan.com/rss/5046" TargetMode="External"/><Relationship Id="rId194" Type="http://schemas.openxmlformats.org/officeDocument/2006/relationships/hyperlink" Target="https://feed.livehindustan.com/rss/5047" TargetMode="External"/><Relationship Id="rId193" Type="http://schemas.openxmlformats.org/officeDocument/2006/relationships/hyperlink" Target="https://www.livehindustan.com/uttar-pradesh/deoria/news" TargetMode="External"/><Relationship Id="rId192" Type="http://schemas.openxmlformats.org/officeDocument/2006/relationships/hyperlink" Target="https://feed.livehindustan.com/rss/1237903" TargetMode="External"/><Relationship Id="rId191" Type="http://schemas.openxmlformats.org/officeDocument/2006/relationships/hyperlink" Target="https://www.livehindustan.com/uttar-pradesh/kushinagar/news" TargetMode="External"/><Relationship Id="rId187" Type="http://schemas.openxmlformats.org/officeDocument/2006/relationships/hyperlink" Target="https://www.livehindustan.com/uttar-pradesh/sonbhadra/news" TargetMode="External"/><Relationship Id="rId186" Type="http://schemas.openxmlformats.org/officeDocument/2006/relationships/hyperlink" Target="https://feed.livehindustan.com/rss/5044" TargetMode="External"/><Relationship Id="rId185" Type="http://schemas.openxmlformats.org/officeDocument/2006/relationships/hyperlink" Target="https://www.livehindustan.com/uttar-pradesh/mirzapur/news" TargetMode="External"/><Relationship Id="rId184" Type="http://schemas.openxmlformats.org/officeDocument/2006/relationships/hyperlink" Target="https://feed.livehindustan.com/rss/5043" TargetMode="External"/><Relationship Id="rId189" Type="http://schemas.openxmlformats.org/officeDocument/2006/relationships/hyperlink" Target="https://www.livehindustan.com/uttar-pradesh/basti/news" TargetMode="External"/><Relationship Id="rId188" Type="http://schemas.openxmlformats.org/officeDocument/2006/relationships/hyperlink" Target="https://feed.livehindustan.com/rss/5045" TargetMode="External"/><Relationship Id="rId183" Type="http://schemas.openxmlformats.org/officeDocument/2006/relationships/hyperlink" Target="https://www.livehindustan.com/uttar-pradesh/mau/news" TargetMode="External"/><Relationship Id="rId182" Type="http://schemas.openxmlformats.org/officeDocument/2006/relationships/hyperlink" Target="https://feed.livehindustan.com/rss/5042" TargetMode="External"/><Relationship Id="rId181" Type="http://schemas.openxmlformats.org/officeDocument/2006/relationships/hyperlink" Target="https://www.livehindustan.com/uttar-pradesh/jaunpur/news" TargetMode="External"/><Relationship Id="rId180" Type="http://schemas.openxmlformats.org/officeDocument/2006/relationships/hyperlink" Target="https://feed.livehindustan.com/rss/5041" TargetMode="External"/><Relationship Id="rId176" Type="http://schemas.openxmlformats.org/officeDocument/2006/relationships/hyperlink" Target="https://feed.livehindustan.com/rss/5039" TargetMode="External"/><Relationship Id="rId297" Type="http://schemas.openxmlformats.org/officeDocument/2006/relationships/hyperlink" Target="https://www.livehindustan.com/uttar-pradesh/kausambi/news" TargetMode="External"/><Relationship Id="rId175" Type="http://schemas.openxmlformats.org/officeDocument/2006/relationships/hyperlink" Target="https://www.livehindustan.com/uttar-pradesh/bhadohi/news" TargetMode="External"/><Relationship Id="rId296" Type="http://schemas.openxmlformats.org/officeDocument/2006/relationships/hyperlink" Target="https://feed.livehindustan.com/rss/1238042" TargetMode="External"/><Relationship Id="rId174" Type="http://schemas.openxmlformats.org/officeDocument/2006/relationships/hyperlink" Target="https://feed.livehindustan.com/rss/5038" TargetMode="External"/><Relationship Id="rId295" Type="http://schemas.openxmlformats.org/officeDocument/2006/relationships/hyperlink" Target="https://www.livehindustan.com/uttar-pradesh/gangapar/news" TargetMode="External"/><Relationship Id="rId173" Type="http://schemas.openxmlformats.org/officeDocument/2006/relationships/hyperlink" Target="https://www.livehindustan.com/uttar-pradesh/balia/news" TargetMode="External"/><Relationship Id="rId294" Type="http://schemas.openxmlformats.org/officeDocument/2006/relationships/hyperlink" Target="https://feed.livehindustan.com/rss/5092" TargetMode="External"/><Relationship Id="rId179" Type="http://schemas.openxmlformats.org/officeDocument/2006/relationships/hyperlink" Target="https://www.livehindustan.com/uttar-pradesh/ghazipur/news" TargetMode="External"/><Relationship Id="rId178" Type="http://schemas.openxmlformats.org/officeDocument/2006/relationships/hyperlink" Target="https://feed.livehindustan.com/rss/5040" TargetMode="External"/><Relationship Id="rId299" Type="http://schemas.openxmlformats.org/officeDocument/2006/relationships/hyperlink" Target="https://www.livehindustan.com/uttar-pradesh/pratapgarh-kunda/news" TargetMode="External"/><Relationship Id="rId177" Type="http://schemas.openxmlformats.org/officeDocument/2006/relationships/hyperlink" Target="https://www.livehindustan.com/uttar-pradesh/chandauli/news" TargetMode="External"/><Relationship Id="rId298" Type="http://schemas.openxmlformats.org/officeDocument/2006/relationships/hyperlink" Target="https://feed.livehindustan.com/rss/1238043" TargetMode="External"/><Relationship Id="rId198" Type="http://schemas.openxmlformats.org/officeDocument/2006/relationships/hyperlink" Target="https://feed.livehindustan.com/rss/5050" TargetMode="External"/><Relationship Id="rId197" Type="http://schemas.openxmlformats.org/officeDocument/2006/relationships/hyperlink" Target="https://www.livehindustan.com/uttar-pradesh/sant-kabir-nagar/news" TargetMode="External"/><Relationship Id="rId196" Type="http://schemas.openxmlformats.org/officeDocument/2006/relationships/hyperlink" Target="https://feed.livehindustan.com/rss/5048" TargetMode="External"/><Relationship Id="rId195" Type="http://schemas.openxmlformats.org/officeDocument/2006/relationships/hyperlink" Target="https://www.livehindustan.com/uttar-pradesh/maharajganj/news" TargetMode="External"/><Relationship Id="rId199" Type="http://schemas.openxmlformats.org/officeDocument/2006/relationships/hyperlink" Target="https://www.livehindustan.com/uttar-pradesh/siddharth-nagar/news" TargetMode="External"/><Relationship Id="rId150" Type="http://schemas.openxmlformats.org/officeDocument/2006/relationships/hyperlink" Target="https://feed.livehindustan.com/rss/5028" TargetMode="External"/><Relationship Id="rId271" Type="http://schemas.openxmlformats.org/officeDocument/2006/relationships/hyperlink" Target="https://www.livehindustan.com/uttar-pradesh/etawah/news" TargetMode="External"/><Relationship Id="rId392" Type="http://schemas.openxmlformats.org/officeDocument/2006/relationships/hyperlink" Target="https://cms.patrika.com/blog/location/auraiya-news/feed/" TargetMode="External"/><Relationship Id="rId270" Type="http://schemas.openxmlformats.org/officeDocument/2006/relationships/hyperlink" Target="https://feed.livehindustan.com/rss/5079" TargetMode="External"/><Relationship Id="rId391" Type="http://schemas.openxmlformats.org/officeDocument/2006/relationships/hyperlink" Target="https://www.patrika.com/auraiya-news" TargetMode="External"/><Relationship Id="rId390" Type="http://schemas.openxmlformats.org/officeDocument/2006/relationships/hyperlink" Target="https://cms.patrika.com/blog/location/lalitpur-news/feed/" TargetMode="External"/><Relationship Id="rId1" Type="http://schemas.openxmlformats.org/officeDocument/2006/relationships/hyperlink" Target="https://www.amarujala.com/uttar-pradesh" TargetMode="External"/><Relationship Id="rId2" Type="http://schemas.openxmlformats.org/officeDocument/2006/relationships/hyperlink" Target="https://www.amarujala.com/rss/uttar-pradesh.xml" TargetMode="External"/><Relationship Id="rId3" Type="http://schemas.openxmlformats.org/officeDocument/2006/relationships/hyperlink" Target="https://www.amarujala.com/uttar-pradesh/gorakhpur" TargetMode="External"/><Relationship Id="rId149" Type="http://schemas.openxmlformats.org/officeDocument/2006/relationships/hyperlink" Target="https://www.livehindustan.com/uttar-pradesh/lucknow/news" TargetMode="External"/><Relationship Id="rId4" Type="http://schemas.openxmlformats.org/officeDocument/2006/relationships/hyperlink" Target="https://www.amarujala.com/rss/gorakhpur.xml" TargetMode="External"/><Relationship Id="rId148" Type="http://schemas.openxmlformats.org/officeDocument/2006/relationships/hyperlink" Target="https://feed.livehindustan.com/rss/5026" TargetMode="External"/><Relationship Id="rId269" Type="http://schemas.openxmlformats.org/officeDocument/2006/relationships/hyperlink" Target="https://www.livehindustan.com/uttar-pradesh/banda/news" TargetMode="External"/><Relationship Id="rId9" Type="http://schemas.openxmlformats.org/officeDocument/2006/relationships/hyperlink" Target="https://www.amarujala.com/uttar-pradesh/amethi" TargetMode="External"/><Relationship Id="rId143" Type="http://schemas.openxmlformats.org/officeDocument/2006/relationships/hyperlink" Target="https://www.amarujala.com/uttar-pradesh/hathras" TargetMode="External"/><Relationship Id="rId264" Type="http://schemas.openxmlformats.org/officeDocument/2006/relationships/hyperlink" Target="https://feed.livehindustan.com/rss/1238011" TargetMode="External"/><Relationship Id="rId385" Type="http://schemas.openxmlformats.org/officeDocument/2006/relationships/hyperlink" Target="https://www.patrika.com/jalaun-news" TargetMode="External"/><Relationship Id="rId142" Type="http://schemas.openxmlformats.org/officeDocument/2006/relationships/hyperlink" Target="https://www.amarujala.com/rss/hardoi.xml" TargetMode="External"/><Relationship Id="rId263" Type="http://schemas.openxmlformats.org/officeDocument/2006/relationships/hyperlink" Target="https://www.livehindustan.com/uttar-pradesh/mahoba/news" TargetMode="External"/><Relationship Id="rId384" Type="http://schemas.openxmlformats.org/officeDocument/2006/relationships/hyperlink" Target="https://cms.patrika.com/blog/location/mahrajganj-news/feed/" TargetMode="External"/><Relationship Id="rId141" Type="http://schemas.openxmlformats.org/officeDocument/2006/relationships/hyperlink" Target="https://www.amarujala.com/uttar-pradesh/hardoi" TargetMode="External"/><Relationship Id="rId262" Type="http://schemas.openxmlformats.org/officeDocument/2006/relationships/hyperlink" Target="https://feed.livehindustan.com/rss/1238008" TargetMode="External"/><Relationship Id="rId383" Type="http://schemas.openxmlformats.org/officeDocument/2006/relationships/hyperlink" Target="https://www.patrika.com/mahrajganj-news" TargetMode="External"/><Relationship Id="rId140" Type="http://schemas.openxmlformats.org/officeDocument/2006/relationships/hyperlink" Target="https://www.amarujala.com/rss/hamirpur.xml" TargetMode="External"/><Relationship Id="rId261" Type="http://schemas.openxmlformats.org/officeDocument/2006/relationships/hyperlink" Target="https://www.livehindustan.com/uttar-pradesh/lalitpur/news" TargetMode="External"/><Relationship Id="rId382" Type="http://schemas.openxmlformats.org/officeDocument/2006/relationships/hyperlink" Target="https://cms.patrika.com/blog/location/kushinagar-news/feed/" TargetMode="External"/><Relationship Id="rId5" Type="http://schemas.openxmlformats.org/officeDocument/2006/relationships/hyperlink" Target="https://www.amarujala.com/uttar-pradesh/lucknow" TargetMode="External"/><Relationship Id="rId147" Type="http://schemas.openxmlformats.org/officeDocument/2006/relationships/hyperlink" Target="https://www.livehindustan.com/uttar-pradesh" TargetMode="External"/><Relationship Id="rId268" Type="http://schemas.openxmlformats.org/officeDocument/2006/relationships/hyperlink" Target="https://feed.livehindustan.com/rss/1238035" TargetMode="External"/><Relationship Id="rId389" Type="http://schemas.openxmlformats.org/officeDocument/2006/relationships/hyperlink" Target="https://www.patrika.com/lalitpur-news" TargetMode="External"/><Relationship Id="rId6" Type="http://schemas.openxmlformats.org/officeDocument/2006/relationships/hyperlink" Target="https://www.amarujala.com/rss/lucknow.xml" TargetMode="External"/><Relationship Id="rId146" Type="http://schemas.openxmlformats.org/officeDocument/2006/relationships/hyperlink" Target="https://www.amarujala.com/rss/ghaziabad.xml" TargetMode="External"/><Relationship Id="rId267" Type="http://schemas.openxmlformats.org/officeDocument/2006/relationships/hyperlink" Target="https://www.livehindustan.com/uttar-pradesh/chitrakoot/news" TargetMode="External"/><Relationship Id="rId388" Type="http://schemas.openxmlformats.org/officeDocument/2006/relationships/hyperlink" Target="https://cms.patrika.com/blog/location/jhansi-news/feed/" TargetMode="External"/><Relationship Id="rId7" Type="http://schemas.openxmlformats.org/officeDocument/2006/relationships/hyperlink" Target="https://www.amarujala.com/uttar-pradesh/amroha" TargetMode="External"/><Relationship Id="rId145" Type="http://schemas.openxmlformats.org/officeDocument/2006/relationships/hyperlink" Target="https://www.amarujala.com/delhi-ncr/ghaziabad" TargetMode="External"/><Relationship Id="rId266" Type="http://schemas.openxmlformats.org/officeDocument/2006/relationships/hyperlink" Target="https://feed.livehindustan.com/rss/1238022" TargetMode="External"/><Relationship Id="rId387" Type="http://schemas.openxmlformats.org/officeDocument/2006/relationships/hyperlink" Target="https://www.patrika.com/jhansi-news" TargetMode="External"/><Relationship Id="rId8" Type="http://schemas.openxmlformats.org/officeDocument/2006/relationships/hyperlink" Target="https://www.amarujala.com/rss/amroha.xml" TargetMode="External"/><Relationship Id="rId144" Type="http://schemas.openxmlformats.org/officeDocument/2006/relationships/hyperlink" Target="https://www.amarujala.com/rss/hathras.xml" TargetMode="External"/><Relationship Id="rId265" Type="http://schemas.openxmlformats.org/officeDocument/2006/relationships/hyperlink" Target="https://www.livehindustan.com/uttar-pradesh/kanpur-rural/news" TargetMode="External"/><Relationship Id="rId386" Type="http://schemas.openxmlformats.org/officeDocument/2006/relationships/hyperlink" Target="https://cms.patrika.com/blog/location/jalaun-news/feed/" TargetMode="External"/><Relationship Id="rId260" Type="http://schemas.openxmlformats.org/officeDocument/2006/relationships/hyperlink" Target="https://feed.livehindustan.com/rss/1237931" TargetMode="External"/><Relationship Id="rId381" Type="http://schemas.openxmlformats.org/officeDocument/2006/relationships/hyperlink" Target="https://www.patrika.com/kushinagar-news" TargetMode="External"/><Relationship Id="rId380" Type="http://schemas.openxmlformats.org/officeDocument/2006/relationships/hyperlink" Target="https://cms.patrika.com/blog/location/gorakhpur-news/feed/" TargetMode="External"/><Relationship Id="rId139" Type="http://schemas.openxmlformats.org/officeDocument/2006/relationships/hyperlink" Target="https://www.amarujala.com/uttar-pradesh/hamirpur" TargetMode="External"/><Relationship Id="rId138" Type="http://schemas.openxmlformats.org/officeDocument/2006/relationships/hyperlink" Target="https://www.amarujala.com/rss/sonebhadra.xml" TargetMode="External"/><Relationship Id="rId259" Type="http://schemas.openxmlformats.org/officeDocument/2006/relationships/hyperlink" Target="https://www.livehindustan.com/uttar-pradesh/bilhor/news" TargetMode="External"/><Relationship Id="rId137" Type="http://schemas.openxmlformats.org/officeDocument/2006/relationships/hyperlink" Target="https://www.amarujala.com/uttar-pradesh/sonbhadra" TargetMode="External"/><Relationship Id="rId258" Type="http://schemas.openxmlformats.org/officeDocument/2006/relationships/hyperlink" Target="https://feed.livehindustan.com/rss/1237918" TargetMode="External"/><Relationship Id="rId379" Type="http://schemas.openxmlformats.org/officeDocument/2006/relationships/hyperlink" Target="https://www.patrika.com/gorakhpur-news" TargetMode="External"/><Relationship Id="rId132" Type="http://schemas.openxmlformats.org/officeDocument/2006/relationships/hyperlink" Target="https://www.amarujala.com/rss/siddharthnagar.xml" TargetMode="External"/><Relationship Id="rId253" Type="http://schemas.openxmlformats.org/officeDocument/2006/relationships/hyperlink" Target="https://www.livehindustan.com/uttar-pradesh/sultanpur/news" TargetMode="External"/><Relationship Id="rId374" Type="http://schemas.openxmlformats.org/officeDocument/2006/relationships/hyperlink" Target="https://cms.patrika.com/blog/location/faizabad-news/feed/" TargetMode="External"/><Relationship Id="rId495" Type="http://schemas.openxmlformats.org/officeDocument/2006/relationships/hyperlink" Target="https://navbharattimes.indiatimes.com/state/uttar-pradesh/gonda/articlelist/92989542.cms" TargetMode="External"/><Relationship Id="rId131" Type="http://schemas.openxmlformats.org/officeDocument/2006/relationships/hyperlink" Target="https://www.amarujala.com/uttar-pradesh/siddharthnagar" TargetMode="External"/><Relationship Id="rId252" Type="http://schemas.openxmlformats.org/officeDocument/2006/relationships/hyperlink" Target="https://feed.livehindustan.com/rss/5076" TargetMode="External"/><Relationship Id="rId373" Type="http://schemas.openxmlformats.org/officeDocument/2006/relationships/hyperlink" Target="https://www.patrika.com/faizabad-news" TargetMode="External"/><Relationship Id="rId494" Type="http://schemas.openxmlformats.org/officeDocument/2006/relationships/hyperlink" Target="https://navbharattimes.indiatimes.com/state/uttar-pradesh/ghazipur/articlelist/92989634.cms" TargetMode="External"/><Relationship Id="rId130" Type="http://schemas.openxmlformats.org/officeDocument/2006/relationships/hyperlink" Target="https://www.amarujala.com/rss/saharanpur.xml" TargetMode="External"/><Relationship Id="rId251" Type="http://schemas.openxmlformats.org/officeDocument/2006/relationships/hyperlink" Target="https://www.livehindustan.com/uttar-pradesh/sitapur/news" TargetMode="External"/><Relationship Id="rId372" Type="http://schemas.openxmlformats.org/officeDocument/2006/relationships/hyperlink" Target="https://cms.patrika.com/blog/location/barabanki-news/feed/" TargetMode="External"/><Relationship Id="rId493" Type="http://schemas.openxmlformats.org/officeDocument/2006/relationships/hyperlink" Target="https://navbharattimes.indiatimes.com/state/uttar-pradesh/firozabad/articlelist/92989817.cms" TargetMode="External"/><Relationship Id="rId250" Type="http://schemas.openxmlformats.org/officeDocument/2006/relationships/hyperlink" Target="https://feed.livehindustan.com/rss/896272" TargetMode="External"/><Relationship Id="rId371" Type="http://schemas.openxmlformats.org/officeDocument/2006/relationships/hyperlink" Target="https://www.patrika.com/barabanki-news" TargetMode="External"/><Relationship Id="rId492" Type="http://schemas.openxmlformats.org/officeDocument/2006/relationships/hyperlink" Target="https://navbharattimes.indiatimes.com/state/uttar-pradesh/fatehpur/articlelist/92989835.cms" TargetMode="External"/><Relationship Id="rId136" Type="http://schemas.openxmlformats.org/officeDocument/2006/relationships/hyperlink" Target="https://www.amarujala.com/rss/sultanpur.xml" TargetMode="External"/><Relationship Id="rId257" Type="http://schemas.openxmlformats.org/officeDocument/2006/relationships/hyperlink" Target="https://www.livehindustan.com/uttar-pradesh/akbarpur/news" TargetMode="External"/><Relationship Id="rId378" Type="http://schemas.openxmlformats.org/officeDocument/2006/relationships/hyperlink" Target="https://cms.patrika.com/blog/location/deoria-news/feed/" TargetMode="External"/><Relationship Id="rId499" Type="http://schemas.openxmlformats.org/officeDocument/2006/relationships/hyperlink" Target="https://navbharattimes.indiatimes.com/state/uttar-pradesh/hathras/articlelist/92989679.cms" TargetMode="External"/><Relationship Id="rId135" Type="http://schemas.openxmlformats.org/officeDocument/2006/relationships/hyperlink" Target="https://www.amarujala.com/uttar-pradesh/sultanpur" TargetMode="External"/><Relationship Id="rId256" Type="http://schemas.openxmlformats.org/officeDocument/2006/relationships/hyperlink" Target="https://feed.livehindustan.com/rss/5078" TargetMode="External"/><Relationship Id="rId377" Type="http://schemas.openxmlformats.org/officeDocument/2006/relationships/hyperlink" Target="https://www.patrika.com/deoria-news" TargetMode="External"/><Relationship Id="rId498" Type="http://schemas.openxmlformats.org/officeDocument/2006/relationships/hyperlink" Target="https://navbharattimes.indiatimes.com/state/uttar-pradesh/hardoi/articlelist/92989699.cms" TargetMode="External"/><Relationship Id="rId134" Type="http://schemas.openxmlformats.org/officeDocument/2006/relationships/hyperlink" Target="https://www.amarujala.com/rss/sitapur.xml" TargetMode="External"/><Relationship Id="rId255" Type="http://schemas.openxmlformats.org/officeDocument/2006/relationships/hyperlink" Target="https://www.livehindustan.com/uttar-pradesh/auraiya/news" TargetMode="External"/><Relationship Id="rId376" Type="http://schemas.openxmlformats.org/officeDocument/2006/relationships/hyperlink" Target="https://cms.patrika.com/blog/location/sultanpur-news/feed/" TargetMode="External"/><Relationship Id="rId497" Type="http://schemas.openxmlformats.org/officeDocument/2006/relationships/hyperlink" Target="https://navbharattimes.indiatimes.com/state/uttar-pradesh/hapur/articlelist/92989677.cms" TargetMode="External"/><Relationship Id="rId133" Type="http://schemas.openxmlformats.org/officeDocument/2006/relationships/hyperlink" Target="https://www.amarujala.com/uttar-pradesh/sitapur" TargetMode="External"/><Relationship Id="rId254" Type="http://schemas.openxmlformats.org/officeDocument/2006/relationships/hyperlink" Target="https://feed.livehindustan.com/rss/5077" TargetMode="External"/><Relationship Id="rId375" Type="http://schemas.openxmlformats.org/officeDocument/2006/relationships/hyperlink" Target="https://www.patrika.com/sultanpur-news" TargetMode="External"/><Relationship Id="rId496" Type="http://schemas.openxmlformats.org/officeDocument/2006/relationships/hyperlink" Target="https://navbharattimes.indiatimes.com/state/uttar-pradesh/hamirpur/articlelist/92989708.cms" TargetMode="External"/><Relationship Id="rId172" Type="http://schemas.openxmlformats.org/officeDocument/2006/relationships/hyperlink" Target="https://feed.livehindustan.com/rss/5037" TargetMode="External"/><Relationship Id="rId293" Type="http://schemas.openxmlformats.org/officeDocument/2006/relationships/hyperlink" Target="https://www.livehindustan.com/uttar-pradesh/sambhal/news" TargetMode="External"/><Relationship Id="rId171" Type="http://schemas.openxmlformats.org/officeDocument/2006/relationships/hyperlink" Target="https://www.livehindustan.com/uttar-pradesh/azamgarh/news" TargetMode="External"/><Relationship Id="rId292" Type="http://schemas.openxmlformats.org/officeDocument/2006/relationships/hyperlink" Target="https://feed.livehindustan.com/rss/5091" TargetMode="External"/><Relationship Id="rId170" Type="http://schemas.openxmlformats.org/officeDocument/2006/relationships/hyperlink" Target="https://feed.livehindustan.com/rss/1348440" TargetMode="External"/><Relationship Id="rId291" Type="http://schemas.openxmlformats.org/officeDocument/2006/relationships/hyperlink" Target="https://www.livehindustan.com/uttar-pradesh/rampur/news" TargetMode="External"/><Relationship Id="rId290" Type="http://schemas.openxmlformats.org/officeDocument/2006/relationships/hyperlink" Target="https://feed.livehindustan.com/rss/5090" TargetMode="External"/><Relationship Id="rId165" Type="http://schemas.openxmlformats.org/officeDocument/2006/relationships/hyperlink" Target="https://www.livehindustan.com/uttar-pradesh/gorakhpur/news" TargetMode="External"/><Relationship Id="rId286" Type="http://schemas.openxmlformats.org/officeDocument/2006/relationships/hyperlink" Target="https://feed.livehindustan.com/rss/5087" TargetMode="External"/><Relationship Id="rId164" Type="http://schemas.openxmlformats.org/officeDocument/2006/relationships/hyperlink" Target="https://feed.livehindustan.com/rss/11373" TargetMode="External"/><Relationship Id="rId285" Type="http://schemas.openxmlformats.org/officeDocument/2006/relationships/hyperlink" Target="https://www.livehindustan.com/uttar-pradesh/unnao/news" TargetMode="External"/><Relationship Id="rId163" Type="http://schemas.openxmlformats.org/officeDocument/2006/relationships/hyperlink" Target="https://www.livehindustan.com/uttar-pradesh/prayagraj/news" TargetMode="External"/><Relationship Id="rId284" Type="http://schemas.openxmlformats.org/officeDocument/2006/relationships/hyperlink" Target="https://feed.livehindustan.com/rss/5085" TargetMode="External"/><Relationship Id="rId162" Type="http://schemas.openxmlformats.org/officeDocument/2006/relationships/hyperlink" Target="https://feed.livehindustan.com/rss/5035" TargetMode="External"/><Relationship Id="rId283" Type="http://schemas.openxmlformats.org/officeDocument/2006/relationships/hyperlink" Target="https://www.livehindustan.com/uttar-pradesh/orai/news" TargetMode="External"/><Relationship Id="rId169" Type="http://schemas.openxmlformats.org/officeDocument/2006/relationships/hyperlink" Target="https://www.livehindustan.com/uttar-pradesh/barabanki/news" TargetMode="External"/><Relationship Id="rId168" Type="http://schemas.openxmlformats.org/officeDocument/2006/relationships/hyperlink" Target="https://feed.livehindustan.com/rss/5034" TargetMode="External"/><Relationship Id="rId289" Type="http://schemas.openxmlformats.org/officeDocument/2006/relationships/hyperlink" Target="https://www.livehindustan.com/uttar-pradesh/amroha/news" TargetMode="External"/><Relationship Id="rId167" Type="http://schemas.openxmlformats.org/officeDocument/2006/relationships/hyperlink" Target="https://www.livehindustan.com/uttar-pradesh/kanpur/news" TargetMode="External"/><Relationship Id="rId288" Type="http://schemas.openxmlformats.org/officeDocument/2006/relationships/hyperlink" Target="https://feed.livehindustan.com/rss/5088" TargetMode="External"/><Relationship Id="rId166" Type="http://schemas.openxmlformats.org/officeDocument/2006/relationships/hyperlink" Target="https://feed.livehindustan.com/rss/5030" TargetMode="External"/><Relationship Id="rId287" Type="http://schemas.openxmlformats.org/officeDocument/2006/relationships/hyperlink" Target="https://www.livehindustan.com/uttar-pradesh/hathras/news" TargetMode="External"/><Relationship Id="rId161" Type="http://schemas.openxmlformats.org/officeDocument/2006/relationships/hyperlink" Target="https://www.livehindustan.com/uttar-pradesh/aligarh/news" TargetMode="External"/><Relationship Id="rId282" Type="http://schemas.openxmlformats.org/officeDocument/2006/relationships/hyperlink" Target="https://feed.livehindustan.com/rss/5084" TargetMode="External"/><Relationship Id="rId160" Type="http://schemas.openxmlformats.org/officeDocument/2006/relationships/hyperlink" Target="https://feed.livehindustan.com/rss/5033" TargetMode="External"/><Relationship Id="rId281" Type="http://schemas.openxmlformats.org/officeDocument/2006/relationships/hyperlink" Target="https://www.livehindustan.com/uttar-pradesh/jhansi/news" TargetMode="External"/><Relationship Id="rId280" Type="http://schemas.openxmlformats.org/officeDocument/2006/relationships/hyperlink" Target="https://feed.livehindustan.com/rss/5083" TargetMode="External"/><Relationship Id="rId159" Type="http://schemas.openxmlformats.org/officeDocument/2006/relationships/hyperlink" Target="https://www.livehindustan.com/uttar-pradesh/agra/news" TargetMode="External"/><Relationship Id="rId154" Type="http://schemas.openxmlformats.org/officeDocument/2006/relationships/hyperlink" Target="https://feed.livehindustan.com/rss/5032" TargetMode="External"/><Relationship Id="rId275" Type="http://schemas.openxmlformats.org/officeDocument/2006/relationships/hyperlink" Target="https://www.livehindustan.com/uttar-pradesh/kannauj/news" TargetMode="External"/><Relationship Id="rId396" Type="http://schemas.openxmlformats.org/officeDocument/2006/relationships/hyperlink" Target="https://cms.patrika.com/blog/location/kannauj-news/feed/" TargetMode="External"/><Relationship Id="rId153" Type="http://schemas.openxmlformats.org/officeDocument/2006/relationships/hyperlink" Target="https://www.livehindustan.com/uttar-pradesh/bareilly/news" TargetMode="External"/><Relationship Id="rId274" Type="http://schemas.openxmlformats.org/officeDocument/2006/relationships/hyperlink" Target="https://feed.livehindustan.com/rss/5081" TargetMode="External"/><Relationship Id="rId395" Type="http://schemas.openxmlformats.org/officeDocument/2006/relationships/hyperlink" Target="https://www.patrika.com/kannauj-news" TargetMode="External"/><Relationship Id="rId152" Type="http://schemas.openxmlformats.org/officeDocument/2006/relationships/hyperlink" Target="https://feed.livehindustan.com/rss/5029" TargetMode="External"/><Relationship Id="rId273" Type="http://schemas.openxmlformats.org/officeDocument/2006/relationships/hyperlink" Target="https://www.livehindustan.com/uttar-pradesh/farrukhabad/news" TargetMode="External"/><Relationship Id="rId394" Type="http://schemas.openxmlformats.org/officeDocument/2006/relationships/hyperlink" Target="https://cms.patrika.com/blog/location/farrukhabad-news/feed/" TargetMode="External"/><Relationship Id="rId151" Type="http://schemas.openxmlformats.org/officeDocument/2006/relationships/hyperlink" Target="https://www.livehindustan.com/uttar-pradesh/varanasi/news" TargetMode="External"/><Relationship Id="rId272" Type="http://schemas.openxmlformats.org/officeDocument/2006/relationships/hyperlink" Target="https://feed.livehindustan.com/rss/5080" TargetMode="External"/><Relationship Id="rId393" Type="http://schemas.openxmlformats.org/officeDocument/2006/relationships/hyperlink" Target="https://www.patrika.com/farrukhabad-news" TargetMode="External"/><Relationship Id="rId158" Type="http://schemas.openxmlformats.org/officeDocument/2006/relationships/hyperlink" Target="https://feed.livehindustan.com/rss/5031" TargetMode="External"/><Relationship Id="rId279" Type="http://schemas.openxmlformats.org/officeDocument/2006/relationships/hyperlink" Target="https://www.livehindustan.com/uttar-pradesh/hardoi/news" TargetMode="External"/><Relationship Id="rId157" Type="http://schemas.openxmlformats.org/officeDocument/2006/relationships/hyperlink" Target="https://www.livehindustan.com/uttar-pradesh/meerut/news" TargetMode="External"/><Relationship Id="rId278" Type="http://schemas.openxmlformats.org/officeDocument/2006/relationships/hyperlink" Target="https://feed.livehindustan.com/rss/5082" TargetMode="External"/><Relationship Id="rId399" Type="http://schemas.openxmlformats.org/officeDocument/2006/relationships/hyperlink" Target="https://www.patrika.com/hardoi-news" TargetMode="External"/><Relationship Id="rId156" Type="http://schemas.openxmlformats.org/officeDocument/2006/relationships/hyperlink" Target="https://feed.livehindustan.com/rss/5036" TargetMode="External"/><Relationship Id="rId277" Type="http://schemas.openxmlformats.org/officeDocument/2006/relationships/hyperlink" Target="https://www.livehindustan.com/uttar-pradesh/hamirpur/news" TargetMode="External"/><Relationship Id="rId398" Type="http://schemas.openxmlformats.org/officeDocument/2006/relationships/hyperlink" Target="https://cms.patrika.com/blog/location/kanpur-news/feed/" TargetMode="External"/><Relationship Id="rId155" Type="http://schemas.openxmlformats.org/officeDocument/2006/relationships/hyperlink" Target="https://www.livehindustan.com/uttar-pradesh/moradabad/news" TargetMode="External"/><Relationship Id="rId276" Type="http://schemas.openxmlformats.org/officeDocument/2006/relationships/hyperlink" Target="https://feed.livehindustan.com/rss/896320" TargetMode="External"/><Relationship Id="rId397" Type="http://schemas.openxmlformats.org/officeDocument/2006/relationships/hyperlink" Target="https://www.patrika.com/kanpur-news" TargetMode="External"/><Relationship Id="rId40" Type="http://schemas.openxmlformats.org/officeDocument/2006/relationships/hyperlink" Target="https://www.amarujala.com/rss/gonda.xml" TargetMode="External"/><Relationship Id="rId42" Type="http://schemas.openxmlformats.org/officeDocument/2006/relationships/hyperlink" Target="https://www.amarujala.com/rss/ghatampur.xml" TargetMode="External"/><Relationship Id="rId41" Type="http://schemas.openxmlformats.org/officeDocument/2006/relationships/hyperlink" Target="https://www.amarujala.com/uttar-pradesh/ghatampur" TargetMode="External"/><Relationship Id="rId44" Type="http://schemas.openxmlformats.org/officeDocument/2006/relationships/hyperlink" Target="https://www.amarujala.com/rss/chandauli.xml" TargetMode="External"/><Relationship Id="rId43" Type="http://schemas.openxmlformats.org/officeDocument/2006/relationships/hyperlink" Target="https://www.amarujala.com/uttar-pradesh/chandauli" TargetMode="External"/><Relationship Id="rId46" Type="http://schemas.openxmlformats.org/officeDocument/2006/relationships/hyperlink" Target="https://www.amarujala.com/rss/chitrakoot.xml" TargetMode="External"/><Relationship Id="rId45" Type="http://schemas.openxmlformats.org/officeDocument/2006/relationships/hyperlink" Target="https://www.amarujala.com/uttar-pradesh/chitrakoot" TargetMode="External"/><Relationship Id="rId509" Type="http://schemas.openxmlformats.org/officeDocument/2006/relationships/hyperlink" Target="https://navbharattimes.indiatimes.com/metro/lucknow/articlelist/21248218.cms" TargetMode="External"/><Relationship Id="rId508" Type="http://schemas.openxmlformats.org/officeDocument/2006/relationships/hyperlink" Target="https://navbharattimes.indiatimes.com/state/uttar-pradesh/lalitpur/articlelist/92989752.cms" TargetMode="External"/><Relationship Id="rId503" Type="http://schemas.openxmlformats.org/officeDocument/2006/relationships/hyperlink" Target="https://navbharattimes.indiatimes.com/state/uttar-pradesh/kanpur/articlelist/5194950.cms" TargetMode="External"/><Relationship Id="rId502" Type="http://schemas.openxmlformats.org/officeDocument/2006/relationships/hyperlink" Target="https://navbharattimes.indiatimes.com/state/uttar-pradesh/kannauj/articlelist/92989629.cms" TargetMode="External"/><Relationship Id="rId501" Type="http://schemas.openxmlformats.org/officeDocument/2006/relationships/hyperlink" Target="https://navbharattimes.indiatimes.com/state/uttar-pradesh/jhansi/articlelist/92989606.cms" TargetMode="External"/><Relationship Id="rId500" Type="http://schemas.openxmlformats.org/officeDocument/2006/relationships/hyperlink" Target="https://navbharattimes.indiatimes.com/state/uttar-pradesh/jaunpur/articlelist/92989849.cms" TargetMode="External"/><Relationship Id="rId507" Type="http://schemas.openxmlformats.org/officeDocument/2006/relationships/hyperlink" Target="https://navbharattimes.indiatimes.com/state/uttar-pradesh/lakhimpur-kheri/articlelist/92989844.cms" TargetMode="External"/><Relationship Id="rId506" Type="http://schemas.openxmlformats.org/officeDocument/2006/relationships/hyperlink" Target="https://navbharattimes.indiatimes.com/state/uttar-pradesh/kushinagar/articlelist/92989608.cms" TargetMode="External"/><Relationship Id="rId505" Type="http://schemas.openxmlformats.org/officeDocument/2006/relationships/hyperlink" Target="https://navbharattimes.indiatimes.com/state/uttar-pradesh/kaushambi/articlelist/92989659.cms" TargetMode="External"/><Relationship Id="rId504" Type="http://schemas.openxmlformats.org/officeDocument/2006/relationships/hyperlink" Target="https://navbharattimes.indiatimes.com/state/uttar-pradesh/kasganj/articlelist/92989668.cms" TargetMode="External"/><Relationship Id="rId48" Type="http://schemas.openxmlformats.org/officeDocument/2006/relationships/hyperlink" Target="https://www.amarujala.com/rss/jalaun.xml" TargetMode="External"/><Relationship Id="rId47" Type="http://schemas.openxmlformats.org/officeDocument/2006/relationships/hyperlink" Target="https://www.amarujala.com/uttar-pradesh/jalaun" TargetMode="External"/><Relationship Id="rId49" Type="http://schemas.openxmlformats.org/officeDocument/2006/relationships/hyperlink" Target="https://www.amarujala.com/uttar-pradesh/jaunpur" TargetMode="External"/><Relationship Id="rId31" Type="http://schemas.openxmlformats.org/officeDocument/2006/relationships/hyperlink" Target="https://www.amarujala.com/uttar-pradesh/kanpur" TargetMode="External"/><Relationship Id="rId30" Type="http://schemas.openxmlformats.org/officeDocument/2006/relationships/hyperlink" Target="https://www.amarujala.com/rss/kannauj.xml" TargetMode="External"/><Relationship Id="rId33" Type="http://schemas.openxmlformats.org/officeDocument/2006/relationships/hyperlink" Target="https://www.amarujala.com/uttar-pradesh/kushinagar" TargetMode="External"/><Relationship Id="rId32" Type="http://schemas.openxmlformats.org/officeDocument/2006/relationships/hyperlink" Target="https://www.amarujala.com/rss/kanpur.xml" TargetMode="External"/><Relationship Id="rId35" Type="http://schemas.openxmlformats.org/officeDocument/2006/relationships/hyperlink" Target="https://www.amarujala.com/uttar-pradesh/kaushambi" TargetMode="External"/><Relationship Id="rId34" Type="http://schemas.openxmlformats.org/officeDocument/2006/relationships/hyperlink" Target="https://www.amarujala.com/rss/kushinagar.xml" TargetMode="External"/><Relationship Id="rId37" Type="http://schemas.openxmlformats.org/officeDocument/2006/relationships/hyperlink" Target="https://www.amarujala.com/uttar-pradesh/ghazipur" TargetMode="External"/><Relationship Id="rId36" Type="http://schemas.openxmlformats.org/officeDocument/2006/relationships/hyperlink" Target="https://www.amarujala.com/rss/kaushambi.xml" TargetMode="External"/><Relationship Id="rId39" Type="http://schemas.openxmlformats.org/officeDocument/2006/relationships/hyperlink" Target="https://www.amarujala.com/uttar-pradesh/gonda" TargetMode="External"/><Relationship Id="rId38" Type="http://schemas.openxmlformats.org/officeDocument/2006/relationships/hyperlink" Target="https://www.amarujala.com/rss/ghazipur.xml" TargetMode="External"/><Relationship Id="rId20" Type="http://schemas.openxmlformats.org/officeDocument/2006/relationships/hyperlink" Target="https://www.amarujala.com/rss/azamgarh.xml" TargetMode="External"/><Relationship Id="rId22" Type="http://schemas.openxmlformats.org/officeDocument/2006/relationships/hyperlink" Target="https://www.amarujala.com/rss/etawah.xml" TargetMode="External"/><Relationship Id="rId21" Type="http://schemas.openxmlformats.org/officeDocument/2006/relationships/hyperlink" Target="https://www.amarujala.com/uttar-pradesh/etawah" TargetMode="External"/><Relationship Id="rId24" Type="http://schemas.openxmlformats.org/officeDocument/2006/relationships/hyperlink" Target="https://www.amarujala.com/rss/unnao.xml" TargetMode="External"/><Relationship Id="rId23" Type="http://schemas.openxmlformats.org/officeDocument/2006/relationships/hyperlink" Target="https://www.amarujala.com/uttar-pradesh/unnao" TargetMode="External"/><Relationship Id="rId409" Type="http://schemas.openxmlformats.org/officeDocument/2006/relationships/hyperlink" Target="https://www.patrika.com/unnao-news" TargetMode="External"/><Relationship Id="rId404" Type="http://schemas.openxmlformats.org/officeDocument/2006/relationships/hyperlink" Target="https://cms.patrika.com/blog/location/lucknow-news/feed/" TargetMode="External"/><Relationship Id="rId525" Type="http://schemas.openxmlformats.org/officeDocument/2006/relationships/hyperlink" Target="https://navbharattimes.indiatimes.com/state/uttar-pradesh/shamli/articlelist/92989748.cms" TargetMode="External"/><Relationship Id="rId403" Type="http://schemas.openxmlformats.org/officeDocument/2006/relationships/hyperlink" Target="https://www.patrika.com/lucknow-news" TargetMode="External"/><Relationship Id="rId524" Type="http://schemas.openxmlformats.org/officeDocument/2006/relationships/hyperlink" Target="https://navbharattimes.indiatimes.com/state/uttar-pradesh/shahjahanpur/articlelist/75575131.cms" TargetMode="External"/><Relationship Id="rId402" Type="http://schemas.openxmlformats.org/officeDocument/2006/relationships/hyperlink" Target="https://cms.patrika.com/blog/location/lakhimpur-kheri-news/feed/" TargetMode="External"/><Relationship Id="rId523" Type="http://schemas.openxmlformats.org/officeDocument/2006/relationships/hyperlink" Target="https://navbharattimes.indiatimes.com/state/uttar-pradesh/sant-kabir-nagar/articlelist/92989739.cms" TargetMode="External"/><Relationship Id="rId401" Type="http://schemas.openxmlformats.org/officeDocument/2006/relationships/hyperlink" Target="https://www.patrika.com/lakhimpur-kheri-news" TargetMode="External"/><Relationship Id="rId522" Type="http://schemas.openxmlformats.org/officeDocument/2006/relationships/hyperlink" Target="https://navbharattimes.indiatimes.com/state/uttar-pradesh/sambhal/articlelist/92989724.cms" TargetMode="External"/><Relationship Id="rId408" Type="http://schemas.openxmlformats.org/officeDocument/2006/relationships/hyperlink" Target="https://cms.patrika.com/blog/location/sitapur-news/feed/" TargetMode="External"/><Relationship Id="rId529" Type="http://schemas.openxmlformats.org/officeDocument/2006/relationships/hyperlink" Target="https://navbharattimes.indiatimes.com/state/uttar-pradesh/sonbhadra/articlelist/92989719.cms" TargetMode="External"/><Relationship Id="rId407" Type="http://schemas.openxmlformats.org/officeDocument/2006/relationships/hyperlink" Target="https://www.patrika.com/sitapur-news" TargetMode="External"/><Relationship Id="rId528" Type="http://schemas.openxmlformats.org/officeDocument/2006/relationships/hyperlink" Target="https://navbharattimes.indiatimes.com/state/uttar-pradesh/sitapur/articlelist/92989730.cms" TargetMode="External"/><Relationship Id="rId406" Type="http://schemas.openxmlformats.org/officeDocument/2006/relationships/hyperlink" Target="https://cms.patrika.com/blog/location/raebareli-news/feed/" TargetMode="External"/><Relationship Id="rId527" Type="http://schemas.openxmlformats.org/officeDocument/2006/relationships/hyperlink" Target="https://navbharattimes.indiatimes.com/state/uttar-pradesh/siddharthnagar/articlelist/92989723.cms" TargetMode="External"/><Relationship Id="rId405" Type="http://schemas.openxmlformats.org/officeDocument/2006/relationships/hyperlink" Target="https://www.patrika.com/raebareli-news" TargetMode="External"/><Relationship Id="rId526" Type="http://schemas.openxmlformats.org/officeDocument/2006/relationships/hyperlink" Target="https://navbharattimes.indiatimes.com/state/uttar-pradesh/shravasti/articlelist/92989746.cms" TargetMode="External"/><Relationship Id="rId26" Type="http://schemas.openxmlformats.org/officeDocument/2006/relationships/hyperlink" Target="https://www.amarujala.com/rss/etah.xml" TargetMode="External"/><Relationship Id="rId25" Type="http://schemas.openxmlformats.org/officeDocument/2006/relationships/hyperlink" Target="https://www.amarujala.com/uttar-pradesh/etah" TargetMode="External"/><Relationship Id="rId28" Type="http://schemas.openxmlformats.org/officeDocument/2006/relationships/hyperlink" Target="https://www.amarujala.com/rss/auraiya.xml" TargetMode="External"/><Relationship Id="rId27" Type="http://schemas.openxmlformats.org/officeDocument/2006/relationships/hyperlink" Target="https://www.amarujala.com/uttar-pradesh/auraiya" TargetMode="External"/><Relationship Id="rId400" Type="http://schemas.openxmlformats.org/officeDocument/2006/relationships/hyperlink" Target="https://cms.patrika.com/blog/location/hardoi-news/feed/" TargetMode="External"/><Relationship Id="rId521" Type="http://schemas.openxmlformats.org/officeDocument/2006/relationships/hyperlink" Target="https://navbharattimes.indiatimes.com/state/uttar-pradesh/saharanpur/articlelist/19928210.cms" TargetMode="External"/><Relationship Id="rId29" Type="http://schemas.openxmlformats.org/officeDocument/2006/relationships/hyperlink" Target="https://www.amarujala.com/uttar-pradesh/kannauj" TargetMode="External"/><Relationship Id="rId520" Type="http://schemas.openxmlformats.org/officeDocument/2006/relationships/hyperlink" Target="https://navbharattimes.indiatimes.com/state/uttar-pradesh/rampur/articlelist/92989754.cms" TargetMode="External"/><Relationship Id="rId11" Type="http://schemas.openxmlformats.org/officeDocument/2006/relationships/hyperlink" Target="https://www.amarujala.com/uttar-pradesh/ambedkar-nagar" TargetMode="External"/><Relationship Id="rId10" Type="http://schemas.openxmlformats.org/officeDocument/2006/relationships/hyperlink" Target="https://www.amarujala.com/rss/amethi.xml" TargetMode="External"/><Relationship Id="rId13" Type="http://schemas.openxmlformats.org/officeDocument/2006/relationships/hyperlink" Target="https://www.amarujala.com/uttar-pradesh/faizabad" TargetMode="External"/><Relationship Id="rId12" Type="http://schemas.openxmlformats.org/officeDocument/2006/relationships/hyperlink" Target="https://www.amarujala.com/rss/ambedkar-nagar.xml" TargetMode="External"/><Relationship Id="rId519" Type="http://schemas.openxmlformats.org/officeDocument/2006/relationships/hyperlink" Target="https://navbharattimes.indiatimes.com/state/uttar-pradesh/raebareli/articlelist/75575044.cms" TargetMode="External"/><Relationship Id="rId514" Type="http://schemas.openxmlformats.org/officeDocument/2006/relationships/hyperlink" Target="https://navbharattimes.indiatimes.com/state/uttar-pradesh/mirzapur/articlelist/75575063.cms" TargetMode="External"/><Relationship Id="rId513" Type="http://schemas.openxmlformats.org/officeDocument/2006/relationships/hyperlink" Target="https://navbharattimes.indiatimes.com/state/uttar-pradesh/mau/articlelist/92989767.cms" TargetMode="External"/><Relationship Id="rId512" Type="http://schemas.openxmlformats.org/officeDocument/2006/relationships/hyperlink" Target="https://navbharattimes.indiatimes.com/state/uttar-pradesh/mainpuri/articlelist/92989761.cms" TargetMode="External"/><Relationship Id="rId511" Type="http://schemas.openxmlformats.org/officeDocument/2006/relationships/hyperlink" Target="https://navbharattimes.indiatimes.com/state/uttar-pradesh/mahoba/articlelist/92989763.cms" TargetMode="External"/><Relationship Id="rId518" Type="http://schemas.openxmlformats.org/officeDocument/2006/relationships/hyperlink" Target="https://navbharattimes.indiatimes.com/state/uttar-pradesh/pratapgarh/articlelist/92989839.cms" TargetMode="External"/><Relationship Id="rId517" Type="http://schemas.openxmlformats.org/officeDocument/2006/relationships/hyperlink" Target="https://navbharattimes.indiatimes.com/state/uttar-pradesh/pilibhit/articlelist/92989841.cms" TargetMode="External"/><Relationship Id="rId516" Type="http://schemas.openxmlformats.org/officeDocument/2006/relationships/hyperlink" Target="https://navbharattimes.indiatimes.com/state/uttar-pradesh/muzaffarnagar/articlelist/75574943.cms" TargetMode="External"/><Relationship Id="rId515" Type="http://schemas.openxmlformats.org/officeDocument/2006/relationships/hyperlink" Target="https://navbharattimes.indiatimes.com/state/uttar-pradesh/moradabad/articlelist/75575184.cms" TargetMode="External"/><Relationship Id="rId15" Type="http://schemas.openxmlformats.org/officeDocument/2006/relationships/hyperlink" Target="https://www.amarujala.com/uttar-pradesh/aligarh" TargetMode="External"/><Relationship Id="rId14" Type="http://schemas.openxmlformats.org/officeDocument/2006/relationships/hyperlink" Target="https://www.amarujala.com/rss/faizabad.xml" TargetMode="External"/><Relationship Id="rId17" Type="http://schemas.openxmlformats.org/officeDocument/2006/relationships/hyperlink" Target="https://www.amarujala.com/uttar-pradesh/agra" TargetMode="External"/><Relationship Id="rId16" Type="http://schemas.openxmlformats.org/officeDocument/2006/relationships/hyperlink" Target="https://www.amarujala.com/rss/aligarh.xml" TargetMode="External"/><Relationship Id="rId19" Type="http://schemas.openxmlformats.org/officeDocument/2006/relationships/hyperlink" Target="https://www.amarujala.com/uttar-pradesh/azamgarh" TargetMode="External"/><Relationship Id="rId510" Type="http://schemas.openxmlformats.org/officeDocument/2006/relationships/hyperlink" Target="https://navbharattimes.indiatimes.com/state/uttar-pradesh/maharajganj/articlelist/92989765.cms" TargetMode="External"/><Relationship Id="rId18" Type="http://schemas.openxmlformats.org/officeDocument/2006/relationships/hyperlink" Target="https://www.amarujala.com/rss/agra.xml" TargetMode="External"/><Relationship Id="rId84" Type="http://schemas.openxmlformats.org/officeDocument/2006/relationships/hyperlink" Target="https://www.amarujala.com/rss/barabanki.xml" TargetMode="External"/><Relationship Id="rId83" Type="http://schemas.openxmlformats.org/officeDocument/2006/relationships/hyperlink" Target="https://www.amarujala.com/uttar-pradesh/barabanki" TargetMode="External"/><Relationship Id="rId86" Type="http://schemas.openxmlformats.org/officeDocument/2006/relationships/hyperlink" Target="https://www.amarujala.com/rss/bijnor.xml" TargetMode="External"/><Relationship Id="rId85" Type="http://schemas.openxmlformats.org/officeDocument/2006/relationships/hyperlink" Target="https://www.amarujala.com/uttar-pradesh/bijnor" TargetMode="External"/><Relationship Id="rId88" Type="http://schemas.openxmlformats.org/officeDocument/2006/relationships/hyperlink" Target="https://www.amarujala.com/rss/bulandshahr.xml" TargetMode="External"/><Relationship Id="rId87" Type="http://schemas.openxmlformats.org/officeDocument/2006/relationships/hyperlink" Target="https://www.amarujala.com/uttar-pradesh/bulandshahr" TargetMode="External"/><Relationship Id="rId89" Type="http://schemas.openxmlformats.org/officeDocument/2006/relationships/hyperlink" Target="https://www.amarujala.com/uttar-pradesh/bhadohi" TargetMode="External"/><Relationship Id="rId80" Type="http://schemas.openxmlformats.org/officeDocument/2006/relationships/hyperlink" Target="https://www.amarujala.com/rss/banda.xml" TargetMode="External"/><Relationship Id="rId82" Type="http://schemas.openxmlformats.org/officeDocument/2006/relationships/hyperlink" Target="https://www.amarujala.com/rss/baghpat.xml" TargetMode="External"/><Relationship Id="rId81" Type="http://schemas.openxmlformats.org/officeDocument/2006/relationships/hyperlink" Target="https://www.amarujala.com/uttar-pradesh/baghpat" TargetMode="External"/><Relationship Id="rId73" Type="http://schemas.openxmlformats.org/officeDocument/2006/relationships/hyperlink" Target="https://www.amarujala.com/uttar-pradesh/ballia" TargetMode="External"/><Relationship Id="rId72" Type="http://schemas.openxmlformats.org/officeDocument/2006/relationships/hyperlink" Target="https://www.amarujala.com/rss/balrampur.xml" TargetMode="External"/><Relationship Id="rId75" Type="http://schemas.openxmlformats.org/officeDocument/2006/relationships/hyperlink" Target="https://www.amarujala.com/uttar-pradesh/basti" TargetMode="External"/><Relationship Id="rId74" Type="http://schemas.openxmlformats.org/officeDocument/2006/relationships/hyperlink" Target="https://www.amarujala.com/rss/ballia.xml" TargetMode="External"/><Relationship Id="rId77" Type="http://schemas.openxmlformats.org/officeDocument/2006/relationships/hyperlink" Target="https://www.amarujala.com/uttar-pradesh/bahraich" TargetMode="External"/><Relationship Id="rId76" Type="http://schemas.openxmlformats.org/officeDocument/2006/relationships/hyperlink" Target="https://www.amarujala.com/rss/basti.xml" TargetMode="External"/><Relationship Id="rId79" Type="http://schemas.openxmlformats.org/officeDocument/2006/relationships/hyperlink" Target="https://www.amarujala.com/uttar-pradesh/banda" TargetMode="External"/><Relationship Id="rId78" Type="http://schemas.openxmlformats.org/officeDocument/2006/relationships/hyperlink" Target="https://www.amarujala.com/rss/bahraich.xml" TargetMode="External"/><Relationship Id="rId71" Type="http://schemas.openxmlformats.org/officeDocument/2006/relationships/hyperlink" Target="https://www.amarujala.com/uttar-pradesh/balrampur" TargetMode="External"/><Relationship Id="rId70" Type="http://schemas.openxmlformats.org/officeDocument/2006/relationships/hyperlink" Target="https://www.amarujala.com/rss/bareilly.xml" TargetMode="External"/><Relationship Id="rId62" Type="http://schemas.openxmlformats.org/officeDocument/2006/relationships/hyperlink" Target="https://www.amarujala.com/rss/fatehpur.xml" TargetMode="External"/><Relationship Id="rId61" Type="http://schemas.openxmlformats.org/officeDocument/2006/relationships/hyperlink" Target="https://www.amarujala.com/uttar-pradesh/fatehpur" TargetMode="External"/><Relationship Id="rId64" Type="http://schemas.openxmlformats.org/officeDocument/2006/relationships/hyperlink" Target="https://www.amarujala.com/rss/farrukhabad.xml" TargetMode="External"/><Relationship Id="rId63" Type="http://schemas.openxmlformats.org/officeDocument/2006/relationships/hyperlink" Target="https://www.amarujala.com/uttar-pradesh/farrukhabad" TargetMode="External"/><Relationship Id="rId66" Type="http://schemas.openxmlformats.org/officeDocument/2006/relationships/hyperlink" Target="https://www.amarujala.com/rss/firozabad.xml" TargetMode="External"/><Relationship Id="rId65" Type="http://schemas.openxmlformats.org/officeDocument/2006/relationships/hyperlink" Target="https://www.amarujala.com/uttar-pradesh/firozabad" TargetMode="External"/><Relationship Id="rId68" Type="http://schemas.openxmlformats.org/officeDocument/2006/relationships/hyperlink" Target="https://www.amarujala.com/rss/budaun.xml" TargetMode="External"/><Relationship Id="rId67" Type="http://schemas.openxmlformats.org/officeDocument/2006/relationships/hyperlink" Target="https://www.amarujala.com/uttar-pradesh/budaun" TargetMode="External"/><Relationship Id="rId60" Type="http://schemas.openxmlformats.org/officeDocument/2006/relationships/hyperlink" Target="https://www.amarujala.com/rss/allahabad.xml" TargetMode="External"/><Relationship Id="rId69" Type="http://schemas.openxmlformats.org/officeDocument/2006/relationships/hyperlink" Target="https://www.amarujala.com/uttar-pradesh/bareilly" TargetMode="External"/><Relationship Id="rId51" Type="http://schemas.openxmlformats.org/officeDocument/2006/relationships/hyperlink" Target="https://www.amarujala.com/uttar-pradesh/jhansi" TargetMode="External"/><Relationship Id="rId50" Type="http://schemas.openxmlformats.org/officeDocument/2006/relationships/hyperlink" Target="https://www.amarujala.com/rss/jaunpur.xml" TargetMode="External"/><Relationship Id="rId53" Type="http://schemas.openxmlformats.org/officeDocument/2006/relationships/hyperlink" Target="https://www.amarujala.com/uttar-pradesh/deoria" TargetMode="External"/><Relationship Id="rId52" Type="http://schemas.openxmlformats.org/officeDocument/2006/relationships/hyperlink" Target="https://www.amarujala.com/rss/jhansi.xml" TargetMode="External"/><Relationship Id="rId55" Type="http://schemas.openxmlformats.org/officeDocument/2006/relationships/hyperlink" Target="https://www.amarujala.com/uttar-pradesh/pilibhit" TargetMode="External"/><Relationship Id="rId54" Type="http://schemas.openxmlformats.org/officeDocument/2006/relationships/hyperlink" Target="https://www.amarujala.com/rss/deoria.xml" TargetMode="External"/><Relationship Id="rId57" Type="http://schemas.openxmlformats.org/officeDocument/2006/relationships/hyperlink" Target="https://www.amarujala.com/uttar-pradesh/pratapgarh" TargetMode="External"/><Relationship Id="rId56" Type="http://schemas.openxmlformats.org/officeDocument/2006/relationships/hyperlink" Target="https://www.amarujala.com/rss/pilibhit.xml" TargetMode="External"/><Relationship Id="rId59" Type="http://schemas.openxmlformats.org/officeDocument/2006/relationships/hyperlink" Target="https://www.amarujala.com/uttar-pradesh/allahabad" TargetMode="External"/><Relationship Id="rId58" Type="http://schemas.openxmlformats.org/officeDocument/2006/relationships/hyperlink" Target="https://www.amarujala.com/rss/pratapgarh.xml" TargetMode="External"/><Relationship Id="rId107" Type="http://schemas.openxmlformats.org/officeDocument/2006/relationships/hyperlink" Target="https://www.amarujala.com/uttar-pradesh/mainpuri" TargetMode="External"/><Relationship Id="rId228" Type="http://schemas.openxmlformats.org/officeDocument/2006/relationships/hyperlink" Target="https://feed.livehindustan.com/rss/5067" TargetMode="External"/><Relationship Id="rId349" Type="http://schemas.openxmlformats.org/officeDocument/2006/relationships/hyperlink" Target="https://www.patrika.com/banda-news" TargetMode="External"/><Relationship Id="rId106" Type="http://schemas.openxmlformats.org/officeDocument/2006/relationships/hyperlink" Target="https://www.amarujala.com/rss/meerut.xml" TargetMode="External"/><Relationship Id="rId227" Type="http://schemas.openxmlformats.org/officeDocument/2006/relationships/hyperlink" Target="https://www.livehindustan.com/uttar-pradesh/mainpuri/news" TargetMode="External"/><Relationship Id="rId348" Type="http://schemas.openxmlformats.org/officeDocument/2006/relationships/hyperlink" Target="https://cms.patrika.com/blog/location/sidharthnagar-news/feed/" TargetMode="External"/><Relationship Id="rId469" Type="http://schemas.openxmlformats.org/officeDocument/2006/relationships/hyperlink" Target="https://navbharattimes.indiatimes.com/state/uttar-pradesh/bulandshahr/articlelist/75574987.cms" TargetMode="External"/><Relationship Id="rId105" Type="http://schemas.openxmlformats.org/officeDocument/2006/relationships/hyperlink" Target="https://www.amarujala.com/uttar-pradesh/meerut" TargetMode="External"/><Relationship Id="rId226" Type="http://schemas.openxmlformats.org/officeDocument/2006/relationships/hyperlink" Target="https://feed.livehindustan.com/rss/5066" TargetMode="External"/><Relationship Id="rId347" Type="http://schemas.openxmlformats.org/officeDocument/2006/relationships/hyperlink" Target="https://www.patrika.com/sidharthnagar-news" TargetMode="External"/><Relationship Id="rId468" Type="http://schemas.openxmlformats.org/officeDocument/2006/relationships/hyperlink" Target="https://navbharattimes.indiatimes.com/state/uttar-pradesh/ghaziabad/articlelist/75575006.cms" TargetMode="External"/><Relationship Id="rId104" Type="http://schemas.openxmlformats.org/officeDocument/2006/relationships/hyperlink" Target="https://www.amarujala.com/rss/moradabad.xml" TargetMode="External"/><Relationship Id="rId225" Type="http://schemas.openxmlformats.org/officeDocument/2006/relationships/hyperlink" Target="https://www.livehindustan.com/uttar-pradesh/firozabad/news" TargetMode="External"/><Relationship Id="rId346" Type="http://schemas.openxmlformats.org/officeDocument/2006/relationships/hyperlink" Target="https://cms.patrika.com/blog/location/sant-kabir-nagar-news/feed/" TargetMode="External"/><Relationship Id="rId467" Type="http://schemas.openxmlformats.org/officeDocument/2006/relationships/hyperlink" Target="https://navbharattimes.indiatimes.com/city/shahjahanpur/bjp-mla-salona-kushwaha-heated-debate-with-police-officer/videoshow/120483081.cms" TargetMode="External"/><Relationship Id="rId109" Type="http://schemas.openxmlformats.org/officeDocument/2006/relationships/hyperlink" Target="https://www.amarujala.com/uttar-pradesh/rampur" TargetMode="External"/><Relationship Id="rId108" Type="http://schemas.openxmlformats.org/officeDocument/2006/relationships/hyperlink" Target="https://www.amarujala.com/rss/meerut.xml" TargetMode="External"/><Relationship Id="rId229" Type="http://schemas.openxmlformats.org/officeDocument/2006/relationships/hyperlink" Target="https://www.livehindustan.com/uttar-pradesh/mathura/news" TargetMode="External"/><Relationship Id="rId220" Type="http://schemas.openxmlformats.org/officeDocument/2006/relationships/hyperlink" Target="https://feed.livehindustan.com/rss/5063" TargetMode="External"/><Relationship Id="rId341" Type="http://schemas.openxmlformats.org/officeDocument/2006/relationships/hyperlink" Target="https://www.patrika.com/shahjahanpur-news" TargetMode="External"/><Relationship Id="rId462" Type="http://schemas.openxmlformats.org/officeDocument/2006/relationships/hyperlink" Target="https://navbharattimes.indiatimes.com/state/uttar-pradesh/varanasi/articlelist/61483673.cms" TargetMode="External"/><Relationship Id="rId340" Type="http://schemas.openxmlformats.org/officeDocument/2006/relationships/hyperlink" Target="https://cms.patrika.com/blog/location/pilibhit-news/feed/" TargetMode="External"/><Relationship Id="rId461" Type="http://schemas.openxmlformats.org/officeDocument/2006/relationships/hyperlink" Target="https://navbharattimes.indiatimes.com/state/uttar-pradesh/agra/articlelist/61483684.cms" TargetMode="External"/><Relationship Id="rId460" Type="http://schemas.openxmlformats.org/officeDocument/2006/relationships/hyperlink" Target="https://navbharattimes.indiatimes.com/state/uttar-pradesh/aligarh/articlelist/75575224.cms" TargetMode="External"/><Relationship Id="rId103" Type="http://schemas.openxmlformats.org/officeDocument/2006/relationships/hyperlink" Target="https://www.amarujala.com/uttar-pradesh/moradabad" TargetMode="External"/><Relationship Id="rId224" Type="http://schemas.openxmlformats.org/officeDocument/2006/relationships/hyperlink" Target="https://feed.livehindustan.com/rss/5065" TargetMode="External"/><Relationship Id="rId345" Type="http://schemas.openxmlformats.org/officeDocument/2006/relationships/hyperlink" Target="https://www.patrika.com/sant-kabir-nagar-news" TargetMode="External"/><Relationship Id="rId466" Type="http://schemas.openxmlformats.org/officeDocument/2006/relationships/hyperlink" Target="https://navbharattimes.indiatimes.com/state/uttar-pradesh/moradabad/articlelist/75575184.cms" TargetMode="External"/><Relationship Id="rId102" Type="http://schemas.openxmlformats.org/officeDocument/2006/relationships/hyperlink" Target="https://www.amarujala.com/rss/muzaffarnagar.xml" TargetMode="External"/><Relationship Id="rId223" Type="http://schemas.openxmlformats.org/officeDocument/2006/relationships/hyperlink" Target="https://www.livehindustan.com/uttar-pradesh/etah/news" TargetMode="External"/><Relationship Id="rId344" Type="http://schemas.openxmlformats.org/officeDocument/2006/relationships/hyperlink" Target="https://cms.patrika.com/blog/location/basti-news/feed/" TargetMode="External"/><Relationship Id="rId465" Type="http://schemas.openxmlformats.org/officeDocument/2006/relationships/hyperlink" Target="https://navbharattimes.indiatimes.com/state/uttar-pradesh/bareilly/articlelist/75575203.cms" TargetMode="External"/><Relationship Id="rId101" Type="http://schemas.openxmlformats.org/officeDocument/2006/relationships/hyperlink" Target="https://www.amarujala.com/uttar-pradesh/muzaffarnagar" TargetMode="External"/><Relationship Id="rId222" Type="http://schemas.openxmlformats.org/officeDocument/2006/relationships/hyperlink" Target="https://feed.livehindustan.com/rss/5064" TargetMode="External"/><Relationship Id="rId343" Type="http://schemas.openxmlformats.org/officeDocument/2006/relationships/hyperlink" Target="https://www.patrika.com/basti-news" TargetMode="External"/><Relationship Id="rId464" Type="http://schemas.openxmlformats.org/officeDocument/2006/relationships/hyperlink" Target="https://navbharattimes.indiatimes.com/state/uttar-pradesh/meerut/articlelist/11364157.cms" TargetMode="External"/><Relationship Id="rId100" Type="http://schemas.openxmlformats.org/officeDocument/2006/relationships/hyperlink" Target="https://www.amarujala.com/rss/mirzapur.xml" TargetMode="External"/><Relationship Id="rId221" Type="http://schemas.openxmlformats.org/officeDocument/2006/relationships/hyperlink" Target="https://www.livehindustan.com/uttar-pradesh/shahjahanpur/news" TargetMode="External"/><Relationship Id="rId342" Type="http://schemas.openxmlformats.org/officeDocument/2006/relationships/hyperlink" Target="https://cms.patrika.com/blog/location/shahjahanpur-news/feed/" TargetMode="External"/><Relationship Id="rId463" Type="http://schemas.openxmlformats.org/officeDocument/2006/relationships/hyperlink" Target="https://navbharattimes.indiatimes.com/state/uttar-pradesh/allahabad/articlelist/5195544.cms" TargetMode="External"/><Relationship Id="rId217" Type="http://schemas.openxmlformats.org/officeDocument/2006/relationships/hyperlink" Target="https://www.livehindustan.com/uttar-pradesh/lakhimpur-kheri/news" TargetMode="External"/><Relationship Id="rId338" Type="http://schemas.openxmlformats.org/officeDocument/2006/relationships/hyperlink" Target="https://cms.patrika.com/blog/location/budaun-news/feed/" TargetMode="External"/><Relationship Id="rId459" Type="http://schemas.openxmlformats.org/officeDocument/2006/relationships/hyperlink" Target="https://navbharattimes.indiatimes.com/state/uttar-pradesh/gorakhpur/articlelist/61483701.cms" TargetMode="External"/><Relationship Id="rId216" Type="http://schemas.openxmlformats.org/officeDocument/2006/relationships/hyperlink" Target="https://feed.livehindustan.com/rss/5061" TargetMode="External"/><Relationship Id="rId337" Type="http://schemas.openxmlformats.org/officeDocument/2006/relationships/hyperlink" Target="https://www.patrika.com/budaun-news" TargetMode="External"/><Relationship Id="rId458" Type="http://schemas.openxmlformats.org/officeDocument/2006/relationships/hyperlink" Target="https://navbharattimes.indiatimes.com/state/uttar-pradesh/ayodhya/articlelist/19987335.cms" TargetMode="External"/><Relationship Id="rId215" Type="http://schemas.openxmlformats.org/officeDocument/2006/relationships/hyperlink" Target="https://www.livehindustan.com/uttar-pradesh/badaun/news" TargetMode="External"/><Relationship Id="rId336" Type="http://schemas.openxmlformats.org/officeDocument/2006/relationships/hyperlink" Target="https://cms.patrika.com/blog/location/bareilly-news/feed/" TargetMode="External"/><Relationship Id="rId457" Type="http://schemas.openxmlformats.org/officeDocument/2006/relationships/hyperlink" Target="https://navbharattimes.indiatimes.com/state/uttar-pradesh/mathura/articlelist/19928262.cms" TargetMode="External"/><Relationship Id="rId214" Type="http://schemas.openxmlformats.org/officeDocument/2006/relationships/hyperlink" Target="https://feed.livehindustan.com/rss/5058" TargetMode="External"/><Relationship Id="rId335" Type="http://schemas.openxmlformats.org/officeDocument/2006/relationships/hyperlink" Target="https://www.patrika.com/bareilly-news" TargetMode="External"/><Relationship Id="rId456" Type="http://schemas.openxmlformats.org/officeDocument/2006/relationships/hyperlink" Target="https://navbharattimes.indiatimes.com/state/uttar-pradesh/kanpur/articlelist/5194950.cms" TargetMode="External"/><Relationship Id="rId219" Type="http://schemas.openxmlformats.org/officeDocument/2006/relationships/hyperlink" Target="https://www.livehindustan.com/uttar-pradesh/pilibhit/news" TargetMode="External"/><Relationship Id="rId218" Type="http://schemas.openxmlformats.org/officeDocument/2006/relationships/hyperlink" Target="https://feed.livehindustan.com/rss/5062" TargetMode="External"/><Relationship Id="rId339" Type="http://schemas.openxmlformats.org/officeDocument/2006/relationships/hyperlink" Target="https://www.patrika.com/pilibhit-news" TargetMode="External"/><Relationship Id="rId330" Type="http://schemas.openxmlformats.org/officeDocument/2006/relationships/hyperlink" Target="https://cms.patrika.com/blog/location/azamgarh-news/feed/" TargetMode="External"/><Relationship Id="rId451" Type="http://schemas.openxmlformats.org/officeDocument/2006/relationships/hyperlink" Target="https://www.patrika.com/jaunpur-news" TargetMode="External"/><Relationship Id="rId450" Type="http://schemas.openxmlformats.org/officeDocument/2006/relationships/hyperlink" Target="https://cms.patrika.com/blog/location/chandauli-news/feed/" TargetMode="External"/><Relationship Id="rId213" Type="http://schemas.openxmlformats.org/officeDocument/2006/relationships/hyperlink" Target="https://www.livehindustan.com/uttar-pradesh/saharanpur/news" TargetMode="External"/><Relationship Id="rId334" Type="http://schemas.openxmlformats.org/officeDocument/2006/relationships/hyperlink" Target="https://cms.patrika.com/blog/location/mau-news/feed/" TargetMode="External"/><Relationship Id="rId455" Type="http://schemas.openxmlformats.org/officeDocument/2006/relationships/hyperlink" Target="https://navbharattimes.indiatimes.com/state/uttar-pradesh/articlelist/21236867.cms" TargetMode="External"/><Relationship Id="rId212" Type="http://schemas.openxmlformats.org/officeDocument/2006/relationships/hyperlink" Target="https://feed.livehindustan.com/rss/5057" TargetMode="External"/><Relationship Id="rId333" Type="http://schemas.openxmlformats.org/officeDocument/2006/relationships/hyperlink" Target="https://www.patrika.com/mau-news" TargetMode="External"/><Relationship Id="rId454" Type="http://schemas.openxmlformats.org/officeDocument/2006/relationships/hyperlink" Target="https://cms.patrika.com/blog/location/varanasi-news/feed/" TargetMode="External"/><Relationship Id="rId211" Type="http://schemas.openxmlformats.org/officeDocument/2006/relationships/hyperlink" Target="https://www.livehindustan.com/uttar-pradesh/muzaffarnagar/news" TargetMode="External"/><Relationship Id="rId332" Type="http://schemas.openxmlformats.org/officeDocument/2006/relationships/hyperlink" Target="https://cms.patrika.com/blog/location/ballia-news/feed/" TargetMode="External"/><Relationship Id="rId453" Type="http://schemas.openxmlformats.org/officeDocument/2006/relationships/hyperlink" Target="https://www.patrika.com/varanasi-news" TargetMode="External"/><Relationship Id="rId210" Type="http://schemas.openxmlformats.org/officeDocument/2006/relationships/hyperlink" Target="https://feed.livehindustan.com/rss/5056" TargetMode="External"/><Relationship Id="rId331" Type="http://schemas.openxmlformats.org/officeDocument/2006/relationships/hyperlink" Target="https://www.patrika.com/ballia-news" TargetMode="External"/><Relationship Id="rId452" Type="http://schemas.openxmlformats.org/officeDocument/2006/relationships/hyperlink" Target="https://cms.patrika.com/blog/location/jaunpur-news/feed/" TargetMode="External"/><Relationship Id="rId370" Type="http://schemas.openxmlformats.org/officeDocument/2006/relationships/hyperlink" Target="https://cms.patrika.com/blog/location/ayodhya-news/feed/" TargetMode="External"/><Relationship Id="rId491" Type="http://schemas.openxmlformats.org/officeDocument/2006/relationships/hyperlink" Target="https://navbharattimes.indiatimes.com/state/uttar-pradesh/farrukhabad/articlelist/92989831.cms" TargetMode="External"/><Relationship Id="rId490" Type="http://schemas.openxmlformats.org/officeDocument/2006/relationships/hyperlink" Target="https://navbharattimes.indiatimes.com/state/uttar-pradesh/etawah/articlelist/92989625.cms" TargetMode="External"/><Relationship Id="rId129" Type="http://schemas.openxmlformats.org/officeDocument/2006/relationships/hyperlink" Target="https://www.amarujala.com/uttar-pradesh/saharanpur" TargetMode="External"/><Relationship Id="rId128" Type="http://schemas.openxmlformats.org/officeDocument/2006/relationships/hyperlink" Target="https://www.amarujala.com/rss/sambhal.xml" TargetMode="External"/><Relationship Id="rId249" Type="http://schemas.openxmlformats.org/officeDocument/2006/relationships/hyperlink" Target="https://www.livehindustan.com/uttar-pradesh/fatehpur/news" TargetMode="External"/><Relationship Id="rId127" Type="http://schemas.openxmlformats.org/officeDocument/2006/relationships/hyperlink" Target="https://www.amarujala.com/uttar-pradesh/sambhal" TargetMode="External"/><Relationship Id="rId248" Type="http://schemas.openxmlformats.org/officeDocument/2006/relationships/hyperlink" Target="https://feed.livehindustan.com/rss/5075" TargetMode="External"/><Relationship Id="rId369" Type="http://schemas.openxmlformats.org/officeDocument/2006/relationships/hyperlink" Target="https://www.patrika.com/ayodhya-news" TargetMode="External"/><Relationship Id="rId126" Type="http://schemas.openxmlformats.org/officeDocument/2006/relationships/hyperlink" Target="https://www.amarujala.com/rss/sant-kabir-nagar.xml" TargetMode="External"/><Relationship Id="rId247" Type="http://schemas.openxmlformats.org/officeDocument/2006/relationships/hyperlink" Target="https://www.livehindustan.com/uttar-pradesh/raebareli/news" TargetMode="External"/><Relationship Id="rId368" Type="http://schemas.openxmlformats.org/officeDocument/2006/relationships/hyperlink" Target="https://cms.patrika.com/blog/location/amethi-news/feed/" TargetMode="External"/><Relationship Id="rId489" Type="http://schemas.openxmlformats.org/officeDocument/2006/relationships/hyperlink" Target="https://navbharattimes.indiatimes.com/state/uttar-pradesh/etah/articlelist/92989670.cms" TargetMode="External"/><Relationship Id="rId121" Type="http://schemas.openxmlformats.org/officeDocument/2006/relationships/hyperlink" Target="https://www.amarujala.com/uttar-pradesh/shahjahanpur" TargetMode="External"/><Relationship Id="rId242" Type="http://schemas.openxmlformats.org/officeDocument/2006/relationships/hyperlink" Target="https://feed.livehindustan.com/rss/5072" TargetMode="External"/><Relationship Id="rId363" Type="http://schemas.openxmlformats.org/officeDocument/2006/relationships/hyperlink" Target="https://www.patrika.com/shravasti-news" TargetMode="External"/><Relationship Id="rId484" Type="http://schemas.openxmlformats.org/officeDocument/2006/relationships/hyperlink" Target="https://navbharattimes.indiatimes.com/state/uttar-pradesh/bhadohi/articlelist/92989735.cms" TargetMode="External"/><Relationship Id="rId120" Type="http://schemas.openxmlformats.org/officeDocument/2006/relationships/hyperlink" Target="https://www.amarujala.com/rss/shamli.xml" TargetMode="External"/><Relationship Id="rId241" Type="http://schemas.openxmlformats.org/officeDocument/2006/relationships/hyperlink" Target="https://www.livehindustan.com/uttar-pradesh/bahraich/news" TargetMode="External"/><Relationship Id="rId362" Type="http://schemas.openxmlformats.org/officeDocument/2006/relationships/hyperlink" Target="https://cms.patrika.com/blog/location/gonda-news/feed/" TargetMode="External"/><Relationship Id="rId483" Type="http://schemas.openxmlformats.org/officeDocument/2006/relationships/hyperlink" Target="https://navbharattimes.indiatimes.com/state/uttar-pradesh/basti/articlelist/92989793.cms" TargetMode="External"/><Relationship Id="rId240" Type="http://schemas.openxmlformats.org/officeDocument/2006/relationships/hyperlink" Target="https://feed.livehindustan.com/rss/5070" TargetMode="External"/><Relationship Id="rId361" Type="http://schemas.openxmlformats.org/officeDocument/2006/relationships/hyperlink" Target="https://www.patrika.com/gonda-news" TargetMode="External"/><Relationship Id="rId482" Type="http://schemas.openxmlformats.org/officeDocument/2006/relationships/hyperlink" Target="https://navbharattimes.indiatimes.com/state/uttar-pradesh/bareilly/articlelist/75575203.cms" TargetMode="External"/><Relationship Id="rId360" Type="http://schemas.openxmlformats.org/officeDocument/2006/relationships/hyperlink" Target="https://cms.patrika.com/blog/location/balrampur-up-news/feed/" TargetMode="External"/><Relationship Id="rId481" Type="http://schemas.openxmlformats.org/officeDocument/2006/relationships/hyperlink" Target="https://navbharattimes.indiatimes.com/state/uttar-pradesh/barabanki/articlelist/92989781.cms" TargetMode="External"/><Relationship Id="rId125" Type="http://schemas.openxmlformats.org/officeDocument/2006/relationships/hyperlink" Target="https://www.amarujala.com/uttar-pradesh/sant-kabir-nagar" TargetMode="External"/><Relationship Id="rId246" Type="http://schemas.openxmlformats.org/officeDocument/2006/relationships/hyperlink" Target="https://feed.livehindustan.com/rss/5074" TargetMode="External"/><Relationship Id="rId367" Type="http://schemas.openxmlformats.org/officeDocument/2006/relationships/hyperlink" Target="https://www.patrika.com/amethi-news" TargetMode="External"/><Relationship Id="rId488" Type="http://schemas.openxmlformats.org/officeDocument/2006/relationships/hyperlink" Target="https://navbharattimes.indiatimes.com/state/uttar-pradesh/deoria/articlelist/92989581.cms" TargetMode="External"/><Relationship Id="rId124" Type="http://schemas.openxmlformats.org/officeDocument/2006/relationships/hyperlink" Target="https://www.amarujala.com/rss/shravasti.xml" TargetMode="External"/><Relationship Id="rId245" Type="http://schemas.openxmlformats.org/officeDocument/2006/relationships/hyperlink" Target="https://www.livehindustan.com/uttar-pradesh/gonda/news" TargetMode="External"/><Relationship Id="rId366" Type="http://schemas.openxmlformats.org/officeDocument/2006/relationships/hyperlink" Target="https://cms.patrika.com/blog/location/ambedkar-nagar-news/feed/" TargetMode="External"/><Relationship Id="rId487" Type="http://schemas.openxmlformats.org/officeDocument/2006/relationships/hyperlink" Target="https://navbharattimes.indiatimes.com/state/uttar-pradesh/chitrakoot/articlelist/92989572.cms" TargetMode="External"/><Relationship Id="rId123" Type="http://schemas.openxmlformats.org/officeDocument/2006/relationships/hyperlink" Target="https://www.amarujala.com/uttar-pradesh/shravasti" TargetMode="External"/><Relationship Id="rId244" Type="http://schemas.openxmlformats.org/officeDocument/2006/relationships/hyperlink" Target="https://feed.livehindustan.com/rss/5073" TargetMode="External"/><Relationship Id="rId365" Type="http://schemas.openxmlformats.org/officeDocument/2006/relationships/hyperlink" Target="https://www.patrika.com/ambedkar-nagar-news" TargetMode="External"/><Relationship Id="rId486" Type="http://schemas.openxmlformats.org/officeDocument/2006/relationships/hyperlink" Target="https://navbharattimes.indiatimes.com/state/uttar-pradesh/chandauli/articlelist/92989637.cms" TargetMode="External"/><Relationship Id="rId122" Type="http://schemas.openxmlformats.org/officeDocument/2006/relationships/hyperlink" Target="https://www.amarujala.com/rss/shahjahanpur.xml" TargetMode="External"/><Relationship Id="rId243" Type="http://schemas.openxmlformats.org/officeDocument/2006/relationships/hyperlink" Target="https://www.livehindustan.com/uttar-pradesh/faizabad/news" TargetMode="External"/><Relationship Id="rId364" Type="http://schemas.openxmlformats.org/officeDocument/2006/relationships/hyperlink" Target="https://cms.patrika.com/blog/location/shravasti-news/feed/" TargetMode="External"/><Relationship Id="rId485" Type="http://schemas.openxmlformats.org/officeDocument/2006/relationships/hyperlink" Target="https://navbharattimes.indiatimes.com/state/uttar-pradesh/bijnor/articlelist/92989774.cms" TargetMode="External"/><Relationship Id="rId95" Type="http://schemas.openxmlformats.org/officeDocument/2006/relationships/hyperlink" Target="https://www.amarujala.com/uttar-pradesh/maharajganj" TargetMode="External"/><Relationship Id="rId94" Type="http://schemas.openxmlformats.org/officeDocument/2006/relationships/hyperlink" Target="https://www.amarujala.com/rss/mathura.xml" TargetMode="External"/><Relationship Id="rId97" Type="http://schemas.openxmlformats.org/officeDocument/2006/relationships/hyperlink" Target="https://www.amarujala.com/uttar-pradesh/mahoba" TargetMode="External"/><Relationship Id="rId96" Type="http://schemas.openxmlformats.org/officeDocument/2006/relationships/hyperlink" Target="https://www.amarujala.com/rss/maharajganj.xml" TargetMode="External"/><Relationship Id="rId99" Type="http://schemas.openxmlformats.org/officeDocument/2006/relationships/hyperlink" Target="https://www.amarujala.com/uttar-pradesh/mirzapur" TargetMode="External"/><Relationship Id="rId480" Type="http://schemas.openxmlformats.org/officeDocument/2006/relationships/hyperlink" Target="https://navbharattimes.indiatimes.com/state/uttar-pradesh/banda/articlelist/92989785.cms" TargetMode="External"/><Relationship Id="rId98" Type="http://schemas.openxmlformats.org/officeDocument/2006/relationships/hyperlink" Target="https://www.amarujala.com/rss/mahoba.xml" TargetMode="External"/><Relationship Id="rId91" Type="http://schemas.openxmlformats.org/officeDocument/2006/relationships/hyperlink" Target="https://www.amarujala.com/uttar-pradesh/mau" TargetMode="External"/><Relationship Id="rId90" Type="http://schemas.openxmlformats.org/officeDocument/2006/relationships/hyperlink" Target="https://www.amarujala.com/rss/bhadohi.xml" TargetMode="External"/><Relationship Id="rId93" Type="http://schemas.openxmlformats.org/officeDocument/2006/relationships/hyperlink" Target="https://www.amarujala.com/uttar-pradesh/mathura" TargetMode="External"/><Relationship Id="rId92" Type="http://schemas.openxmlformats.org/officeDocument/2006/relationships/hyperlink" Target="https://www.amarujala.com/rss/mau.xml" TargetMode="External"/><Relationship Id="rId118" Type="http://schemas.openxmlformats.org/officeDocument/2006/relationships/hyperlink" Target="https://www.amarujala.com/rss/varanasi.xml" TargetMode="External"/><Relationship Id="rId239" Type="http://schemas.openxmlformats.org/officeDocument/2006/relationships/hyperlink" Target="https://www.livehindustan.com/uttar-pradesh/balrampur/news" TargetMode="External"/><Relationship Id="rId117" Type="http://schemas.openxmlformats.org/officeDocument/2006/relationships/hyperlink" Target="https://www.amarujala.com/uttar-pradesh/varanasi" TargetMode="External"/><Relationship Id="rId238" Type="http://schemas.openxmlformats.org/officeDocument/2006/relationships/hyperlink" Target="https://feed.livehindustan.com/rss/1237909" TargetMode="External"/><Relationship Id="rId359" Type="http://schemas.openxmlformats.org/officeDocument/2006/relationships/hyperlink" Target="https://www.patrika.com/balrampur-news" TargetMode="External"/><Relationship Id="rId116" Type="http://schemas.openxmlformats.org/officeDocument/2006/relationships/hyperlink" Target="https://www.amarujala.com/rss/lalitpur.xml" TargetMode="External"/><Relationship Id="rId237" Type="http://schemas.openxmlformats.org/officeDocument/2006/relationships/hyperlink" Target="https://www.livehindustan.com/uttar-pradesh/shravasti/news" TargetMode="External"/><Relationship Id="rId358" Type="http://schemas.openxmlformats.org/officeDocument/2006/relationships/hyperlink" Target="https://cms.patrika.com/blog/location/bahraich-news/feed/" TargetMode="External"/><Relationship Id="rId479" Type="http://schemas.openxmlformats.org/officeDocument/2006/relationships/hyperlink" Target="https://navbharattimes.indiatimes.com/state/uttar-pradesh/balrampur/articlelist/92989566.cms" TargetMode="External"/><Relationship Id="rId115" Type="http://schemas.openxmlformats.org/officeDocument/2006/relationships/hyperlink" Target="https://www.amarujala.com/uttar-pradesh/lalitpur" TargetMode="External"/><Relationship Id="rId236" Type="http://schemas.openxmlformats.org/officeDocument/2006/relationships/hyperlink" Target="https://feed.livehindustan.com/rss/1237908" TargetMode="External"/><Relationship Id="rId357" Type="http://schemas.openxmlformats.org/officeDocument/2006/relationships/hyperlink" Target="https://www.patrika.com/bahraich-news" TargetMode="External"/><Relationship Id="rId478" Type="http://schemas.openxmlformats.org/officeDocument/2006/relationships/hyperlink" Target="https://navbharattimes.indiatimes.com/state/uttar-pradesh/ballia/articlelist/92989796.cms" TargetMode="External"/><Relationship Id="rId119" Type="http://schemas.openxmlformats.org/officeDocument/2006/relationships/hyperlink" Target="https://www.amarujala.com/uttar-pradesh/shamli" TargetMode="External"/><Relationship Id="rId110" Type="http://schemas.openxmlformats.org/officeDocument/2006/relationships/hyperlink" Target="https://www.amarujala.com/rss/rampur.xml" TargetMode="External"/><Relationship Id="rId231" Type="http://schemas.openxmlformats.org/officeDocument/2006/relationships/hyperlink" Target="https://www.livehindustan.com/uttar-pradesh/ambedkar-nagar/news" TargetMode="External"/><Relationship Id="rId352" Type="http://schemas.openxmlformats.org/officeDocument/2006/relationships/hyperlink" Target="https://cms.patrika.com/blog/location/chitrakoot-news/feed/" TargetMode="External"/><Relationship Id="rId473" Type="http://schemas.openxmlformats.org/officeDocument/2006/relationships/hyperlink" Target="https://navbharattimes.indiatimes.com/state/uttar-pradesh/auraiya/articlelist/92989626.cms" TargetMode="External"/><Relationship Id="rId230" Type="http://schemas.openxmlformats.org/officeDocument/2006/relationships/hyperlink" Target="https://feed.livehindustan.com/rss/5068" TargetMode="External"/><Relationship Id="rId351" Type="http://schemas.openxmlformats.org/officeDocument/2006/relationships/hyperlink" Target="https://www.patrika.com/chitrakoot-news" TargetMode="External"/><Relationship Id="rId472" Type="http://schemas.openxmlformats.org/officeDocument/2006/relationships/hyperlink" Target="https://navbharattimes.indiatimes.com/state/uttar-pradesh/amroha/articlelist/92989654.cms" TargetMode="External"/><Relationship Id="rId350" Type="http://schemas.openxmlformats.org/officeDocument/2006/relationships/hyperlink" Target="https://cms.patrika.com/blog/location/banda-news/feed/" TargetMode="External"/><Relationship Id="rId471" Type="http://schemas.openxmlformats.org/officeDocument/2006/relationships/hyperlink" Target="https://navbharattimes.indiatimes.com/state/uttar-pradesh/amethi/articlelist/92989585.cms" TargetMode="External"/><Relationship Id="rId470" Type="http://schemas.openxmlformats.org/officeDocument/2006/relationships/hyperlink" Target="https://navbharattimes.indiatimes.com/state/uttar-pradesh/ambedkar-nagar/articlelist/92989536.cms" TargetMode="External"/><Relationship Id="rId114" Type="http://schemas.openxmlformats.org/officeDocument/2006/relationships/hyperlink" Target="https://www.amarujala.com/rss/lakhimpur-kheri.xml" TargetMode="External"/><Relationship Id="rId235" Type="http://schemas.openxmlformats.org/officeDocument/2006/relationships/hyperlink" Target="https://www.livehindustan.com/uttar-pradesh/gauriganj/news" TargetMode="External"/><Relationship Id="rId356" Type="http://schemas.openxmlformats.org/officeDocument/2006/relationships/hyperlink" Target="https://cms.patrika.com/blog/location/mahoba-news/feed/" TargetMode="External"/><Relationship Id="rId477" Type="http://schemas.openxmlformats.org/officeDocument/2006/relationships/hyperlink" Target="https://navbharattimes.indiatimes.com/state/uttar-pradesh/bahraich/articlelist/92989786.cms" TargetMode="External"/><Relationship Id="rId113" Type="http://schemas.openxmlformats.org/officeDocument/2006/relationships/hyperlink" Target="https://www.amarujala.com/uttar-pradesh/lakhimpur-kheri" TargetMode="External"/><Relationship Id="rId234" Type="http://schemas.openxmlformats.org/officeDocument/2006/relationships/hyperlink" Target="https://feed.livehindustan.com/rss/1237907" TargetMode="External"/><Relationship Id="rId355" Type="http://schemas.openxmlformats.org/officeDocument/2006/relationships/hyperlink" Target="https://www.patrika.com/mahoba-news" TargetMode="External"/><Relationship Id="rId476" Type="http://schemas.openxmlformats.org/officeDocument/2006/relationships/hyperlink" Target="https://navbharattimes.indiatimes.com/state/uttar-pradesh/baghpat/articlelist/19928219.cms" TargetMode="External"/><Relationship Id="rId112" Type="http://schemas.openxmlformats.org/officeDocument/2006/relationships/hyperlink" Target="https://www.amarujala.com/rss/raebareli.xml" TargetMode="External"/><Relationship Id="rId233" Type="http://schemas.openxmlformats.org/officeDocument/2006/relationships/hyperlink" Target="https://www.livehindustan.com/uttar-pradesh/amethi/news" TargetMode="External"/><Relationship Id="rId354" Type="http://schemas.openxmlformats.org/officeDocument/2006/relationships/hyperlink" Target="https://cms.patrika.com/blog/location/hamirpur-news/feed/" TargetMode="External"/><Relationship Id="rId475" Type="http://schemas.openxmlformats.org/officeDocument/2006/relationships/hyperlink" Target="https://navbharattimes.indiatimes.com/state/uttar-pradesh/badaun/articlelist/92989815.cms" TargetMode="External"/><Relationship Id="rId111" Type="http://schemas.openxmlformats.org/officeDocument/2006/relationships/hyperlink" Target="https://www.amarujala.com/uttar-pradesh/raebareli" TargetMode="External"/><Relationship Id="rId232" Type="http://schemas.openxmlformats.org/officeDocument/2006/relationships/hyperlink" Target="https://feed.livehindustan.com/rss/5069" TargetMode="External"/><Relationship Id="rId353" Type="http://schemas.openxmlformats.org/officeDocument/2006/relationships/hyperlink" Target="https://www.patrika.com/hamirpur-news" TargetMode="External"/><Relationship Id="rId474" Type="http://schemas.openxmlformats.org/officeDocument/2006/relationships/hyperlink" Target="https://navbharattimes.indiatimes.com/state/uttar-pradesh/azamgarh/articlelist/75575106.cms" TargetMode="External"/><Relationship Id="rId305" Type="http://schemas.openxmlformats.org/officeDocument/2006/relationships/hyperlink" Target="https://www.patrika.com/firozabad-news" TargetMode="External"/><Relationship Id="rId426" Type="http://schemas.openxmlformats.org/officeDocument/2006/relationships/hyperlink" Target="https://cms.patrika.com/blog/location/meerut-news/feed/" TargetMode="External"/><Relationship Id="rId547" Type="http://schemas.openxmlformats.org/officeDocument/2006/relationships/drawing" Target="../drawings/drawing3.xml"/><Relationship Id="rId304" Type="http://schemas.openxmlformats.org/officeDocument/2006/relationships/hyperlink" Target="https://cms.patrika.com/blog/location/agra-news/feed/" TargetMode="External"/><Relationship Id="rId425" Type="http://schemas.openxmlformats.org/officeDocument/2006/relationships/hyperlink" Target="https://www.patrika.com/meerut-news" TargetMode="External"/><Relationship Id="rId546" Type="http://schemas.openxmlformats.org/officeDocument/2006/relationships/hyperlink" Target="https://ballialive.in/?fbclid=IwY2xjawJ1zNlleHRuA2FlbQIxMABicmlkETF2WFZlUjhyQU92OFA2RTNQAR5wjtc8rq5x4hk7mzp2Cn-Quew9zDayy114SiP-0UikZGdBudZSBua0uo84IA_aem_ZxxWkUQc_iWhbHYE80IZQg" TargetMode="External"/><Relationship Id="rId303" Type="http://schemas.openxmlformats.org/officeDocument/2006/relationships/hyperlink" Target="https://www.patrika.com/agra-news" TargetMode="External"/><Relationship Id="rId424" Type="http://schemas.openxmlformats.org/officeDocument/2006/relationships/hyperlink" Target="https://cms.patrika.com/blog/location/hapur-news/feed/" TargetMode="External"/><Relationship Id="rId545" Type="http://schemas.openxmlformats.org/officeDocument/2006/relationships/hyperlink" Target="https://ballialive.in/?fbclid=IwY2xjawJ1zNlleHRuA2FlbQIxMABicmlkETF2WFZlUjhyQU92OFA2RTNQAR5wjtc8rq5x4hk7mzp2Cn-Quew9zDayy114SiP-0UikZGdBudZSBua0uo84IA_aem_ZxxWkUQc_iWhbHYE80IZQg" TargetMode="External"/><Relationship Id="rId302" Type="http://schemas.openxmlformats.org/officeDocument/2006/relationships/hyperlink" Target="https://cms.patrika.com/blog/location/uttar-pradesh-news/feed/" TargetMode="External"/><Relationship Id="rId423" Type="http://schemas.openxmlformats.org/officeDocument/2006/relationships/hyperlink" Target="https://www.patrika.com/hapur-news" TargetMode="External"/><Relationship Id="rId544" Type="http://schemas.openxmlformats.org/officeDocument/2006/relationships/hyperlink" Target="https://www.azmlive.in/?fbclid=IwY2xjawJ1zIpleHRuA2FlbQIxMABicmlkETF2WFZlUjhyQU92OFA2RTNQAR6_7bPismvJpa-N4MHCrDfdr1qrhhYNLRTuRmgamJ0ckzmSjnXfZPvTv_0iKA_aem_V6sLAOMA0k463I7zkrihkg" TargetMode="External"/><Relationship Id="rId309" Type="http://schemas.openxmlformats.org/officeDocument/2006/relationships/hyperlink" Target="https://www.patrika.com/mathura-news" TargetMode="External"/><Relationship Id="rId308" Type="http://schemas.openxmlformats.org/officeDocument/2006/relationships/hyperlink" Target="https://cms.patrika.com/blog/location/mainpuri-news/feed/" TargetMode="External"/><Relationship Id="rId429" Type="http://schemas.openxmlformats.org/officeDocument/2006/relationships/hyperlink" Target="https://www.patrika.com/mirzapur-news" TargetMode="External"/><Relationship Id="rId307" Type="http://schemas.openxmlformats.org/officeDocument/2006/relationships/hyperlink" Target="https://www.patrika.com/mainpuri-news" TargetMode="External"/><Relationship Id="rId428" Type="http://schemas.openxmlformats.org/officeDocument/2006/relationships/hyperlink" Target="https://cms.patrika.com/blog/location/bhadohi-news/feed/" TargetMode="External"/><Relationship Id="rId306" Type="http://schemas.openxmlformats.org/officeDocument/2006/relationships/hyperlink" Target="https://cms.patrika.com/blog/location/firozabad-news/feed/" TargetMode="External"/><Relationship Id="rId427" Type="http://schemas.openxmlformats.org/officeDocument/2006/relationships/hyperlink" Target="https://www.patrika.com/bhadohi-news" TargetMode="External"/><Relationship Id="rId301" Type="http://schemas.openxmlformats.org/officeDocument/2006/relationships/hyperlink" Target="https://www.patrika.com/uttar-pradesh-news" TargetMode="External"/><Relationship Id="rId422" Type="http://schemas.openxmlformats.org/officeDocument/2006/relationships/hyperlink" Target="https://cms.patrika.com/blog/location/ghazipur-news/feed/" TargetMode="External"/><Relationship Id="rId543" Type="http://schemas.openxmlformats.org/officeDocument/2006/relationships/hyperlink" Target="https://thedeoriatimes.com/" TargetMode="External"/><Relationship Id="rId300" Type="http://schemas.openxmlformats.org/officeDocument/2006/relationships/hyperlink" Target="https://feed.livehindustan.com/rss/1238044" TargetMode="External"/><Relationship Id="rId421" Type="http://schemas.openxmlformats.org/officeDocument/2006/relationships/hyperlink" Target="https://www.patrika.com/ghazipur-news" TargetMode="External"/><Relationship Id="rId542" Type="http://schemas.openxmlformats.org/officeDocument/2006/relationships/hyperlink" Target="https://www.friendstimes.in/?fbclid=IwY2xjawJ1y8pleHRuA2FlbQIxMABicmlkETF2WFZlUjhyQU92OFA2RTNQAR5goupmSiB43pAvaJ_JSJs-_zJOke7_jh-uCpdsBn9YZoqr2zF2PYtsH0_5og_aem_aiZhpN6YWfFeFkEPKPnbRQ" TargetMode="External"/><Relationship Id="rId420" Type="http://schemas.openxmlformats.org/officeDocument/2006/relationships/hyperlink" Target="https://cms.patrika.com/blog/location/ghaziabad-news/feed/" TargetMode="External"/><Relationship Id="rId541" Type="http://schemas.openxmlformats.org/officeDocument/2006/relationships/hyperlink" Target="https://www.thevirallines.net/" TargetMode="External"/><Relationship Id="rId540" Type="http://schemas.openxmlformats.org/officeDocument/2006/relationships/hyperlink" Target="https://public.app/city/news-in-maharajganj" TargetMode="External"/><Relationship Id="rId415" Type="http://schemas.openxmlformats.org/officeDocument/2006/relationships/hyperlink" Target="https://www.patrika.com/greater-noida-news" TargetMode="External"/><Relationship Id="rId536" Type="http://schemas.openxmlformats.org/officeDocument/2006/relationships/hyperlink" Target="https://jmdnewsflash.com/" TargetMode="External"/><Relationship Id="rId414" Type="http://schemas.openxmlformats.org/officeDocument/2006/relationships/hyperlink" Target="https://cms.patrika.com/blog/location/bulandshahr-news/feed/" TargetMode="External"/><Relationship Id="rId535" Type="http://schemas.openxmlformats.org/officeDocument/2006/relationships/hyperlink" Target="https://timesofindia.indiatimes.com/rssfeeds/-2128819658.cms" TargetMode="External"/><Relationship Id="rId413" Type="http://schemas.openxmlformats.org/officeDocument/2006/relationships/hyperlink" Target="https://www.patrika.com/bulandshahr-news" TargetMode="External"/><Relationship Id="rId534" Type="http://schemas.openxmlformats.org/officeDocument/2006/relationships/hyperlink" Target="https://timesofindia.indiatimes.com/india/uttar-pradesh" TargetMode="External"/><Relationship Id="rId412" Type="http://schemas.openxmlformats.org/officeDocument/2006/relationships/hyperlink" Target="https://cms.patrika.com/blog/location/bagpat-news/feed/" TargetMode="External"/><Relationship Id="rId533" Type="http://schemas.openxmlformats.org/officeDocument/2006/relationships/hyperlink" Target="https://www.bhaskar.com/rss-v1--category-2052.xml" TargetMode="External"/><Relationship Id="rId419" Type="http://schemas.openxmlformats.org/officeDocument/2006/relationships/hyperlink" Target="https://www.patrika.com/ghaziabad-news" TargetMode="External"/><Relationship Id="rId418" Type="http://schemas.openxmlformats.org/officeDocument/2006/relationships/hyperlink" Target="https://cms.patrika.com/blog/location/noida-news/feed/" TargetMode="External"/><Relationship Id="rId539" Type="http://schemas.openxmlformats.org/officeDocument/2006/relationships/hyperlink" Target="https://www.inextlive.com/uttar-pradesh/gorakhpur/" TargetMode="External"/><Relationship Id="rId417" Type="http://schemas.openxmlformats.org/officeDocument/2006/relationships/hyperlink" Target="https://www.patrika.com/noida-news" TargetMode="External"/><Relationship Id="rId538" Type="http://schemas.openxmlformats.org/officeDocument/2006/relationships/hyperlink" Target="https://chandaulisamachar.com/" TargetMode="External"/><Relationship Id="rId416" Type="http://schemas.openxmlformats.org/officeDocument/2006/relationships/hyperlink" Target="https://cms.patrika.com/blog/location/greater-noida-news/feed/" TargetMode="External"/><Relationship Id="rId537" Type="http://schemas.openxmlformats.org/officeDocument/2006/relationships/hyperlink" Target="https://jmdnewsflash.com/feed/" TargetMode="External"/><Relationship Id="rId411" Type="http://schemas.openxmlformats.org/officeDocument/2006/relationships/hyperlink" Target="https://www.patrika.com/bagpat-news" TargetMode="External"/><Relationship Id="rId532" Type="http://schemas.openxmlformats.org/officeDocument/2006/relationships/hyperlink" Target="https://www.bhaskar.com/mera-shaher/local/uttar-pradesh/" TargetMode="External"/><Relationship Id="rId410" Type="http://schemas.openxmlformats.org/officeDocument/2006/relationships/hyperlink" Target="https://cms.patrika.com/blog/location/unnao-news/feed/" TargetMode="External"/><Relationship Id="rId531" Type="http://schemas.openxmlformats.org/officeDocument/2006/relationships/hyperlink" Target="https://navbharattimes.indiatimes.com/state/uttar-pradesh/unnao/articlelist/92989661.cms" TargetMode="External"/><Relationship Id="rId530" Type="http://schemas.openxmlformats.org/officeDocument/2006/relationships/hyperlink" Target="https://navbharattimes.indiatimes.com/state/uttar-pradesh/sultanpur/articlelist/92989720.cms" TargetMode="External"/><Relationship Id="rId206" Type="http://schemas.openxmlformats.org/officeDocument/2006/relationships/hyperlink" Target="https://feed.livehindustan.com/rss/5053" TargetMode="External"/><Relationship Id="rId327" Type="http://schemas.openxmlformats.org/officeDocument/2006/relationships/hyperlink" Target="https://www.patrika.com/pratapgarh-news" TargetMode="External"/><Relationship Id="rId448" Type="http://schemas.openxmlformats.org/officeDocument/2006/relationships/hyperlink" Target="https://cms.patrika.com/blog/location/shamli-news/feed/" TargetMode="External"/><Relationship Id="rId205" Type="http://schemas.openxmlformats.org/officeDocument/2006/relationships/hyperlink" Target="https://www.livehindustan.com/uttar-pradesh/bijnor/news" TargetMode="External"/><Relationship Id="rId326" Type="http://schemas.openxmlformats.org/officeDocument/2006/relationships/hyperlink" Target="https://cms.patrika.com/blog/location/fatehpur-news/feed/" TargetMode="External"/><Relationship Id="rId447" Type="http://schemas.openxmlformats.org/officeDocument/2006/relationships/hyperlink" Target="https://www.patrika.com/shamli-news" TargetMode="External"/><Relationship Id="rId204" Type="http://schemas.openxmlformats.org/officeDocument/2006/relationships/hyperlink" Target="https://feed.livehindustan.com/rss/1237906" TargetMode="External"/><Relationship Id="rId325" Type="http://schemas.openxmlformats.org/officeDocument/2006/relationships/hyperlink" Target="https://www.patrika.com/fatehpur-news" TargetMode="External"/><Relationship Id="rId446" Type="http://schemas.openxmlformats.org/officeDocument/2006/relationships/hyperlink" Target="https://cms.patrika.com/blog/location/saharanpur-news/feed/" TargetMode="External"/><Relationship Id="rId203" Type="http://schemas.openxmlformats.org/officeDocument/2006/relationships/hyperlink" Target="https://www.livehindustan.com/uttar-pradesh/shamli/news" TargetMode="External"/><Relationship Id="rId324" Type="http://schemas.openxmlformats.org/officeDocument/2006/relationships/hyperlink" Target="https://cms.patrika.com/blog/location/prayagraj/feed/" TargetMode="External"/><Relationship Id="rId445" Type="http://schemas.openxmlformats.org/officeDocument/2006/relationships/hyperlink" Target="https://www.patrika.com/saharanpur-news" TargetMode="External"/><Relationship Id="rId209" Type="http://schemas.openxmlformats.org/officeDocument/2006/relationships/hyperlink" Target="https://www.livehindustan.com/uttar-pradesh/hapur/news" TargetMode="External"/><Relationship Id="rId208" Type="http://schemas.openxmlformats.org/officeDocument/2006/relationships/hyperlink" Target="https://feed.livehindustan.com/rss/5054" TargetMode="External"/><Relationship Id="rId329" Type="http://schemas.openxmlformats.org/officeDocument/2006/relationships/hyperlink" Target="https://www.patrika.com/azamgarh-news" TargetMode="External"/><Relationship Id="rId207" Type="http://schemas.openxmlformats.org/officeDocument/2006/relationships/hyperlink" Target="https://www.livehindustan.com/uttar-pradesh/bulandshahr/news" TargetMode="External"/><Relationship Id="rId328" Type="http://schemas.openxmlformats.org/officeDocument/2006/relationships/hyperlink" Target="https://cms.patrika.com/blog/location/pratapgarh-up-news/feed/" TargetMode="External"/><Relationship Id="rId449" Type="http://schemas.openxmlformats.org/officeDocument/2006/relationships/hyperlink" Target="https://www.patrika.com/chandauli-news" TargetMode="External"/><Relationship Id="rId440" Type="http://schemas.openxmlformats.org/officeDocument/2006/relationships/hyperlink" Target="https://cms.patrika.com/blog/location/rampur-news/feed/" TargetMode="External"/><Relationship Id="rId202" Type="http://schemas.openxmlformats.org/officeDocument/2006/relationships/hyperlink" Target="https://feed.livehindustan.com/rss/5052" TargetMode="External"/><Relationship Id="rId323" Type="http://schemas.openxmlformats.org/officeDocument/2006/relationships/hyperlink" Target="https://www.patrika.com/prayagraj-news" TargetMode="External"/><Relationship Id="rId444" Type="http://schemas.openxmlformats.org/officeDocument/2006/relationships/hyperlink" Target="https://cms.patrika.com/blog/location/muzaffarnagar-news/feed/" TargetMode="External"/><Relationship Id="rId201" Type="http://schemas.openxmlformats.org/officeDocument/2006/relationships/hyperlink" Target="https://www.livehindustan.com/uttar-pradesh/bagpat/news" TargetMode="External"/><Relationship Id="rId322" Type="http://schemas.openxmlformats.org/officeDocument/2006/relationships/hyperlink" Target="https://cms.patrika.com/blog/location/kaushambi-news/feed/" TargetMode="External"/><Relationship Id="rId443" Type="http://schemas.openxmlformats.org/officeDocument/2006/relationships/hyperlink" Target="https://www.patrika.com/muzaffarnagar-news" TargetMode="External"/><Relationship Id="rId200" Type="http://schemas.openxmlformats.org/officeDocument/2006/relationships/hyperlink" Target="https://feed.livehindustan.com/rss/5051" TargetMode="External"/><Relationship Id="rId321" Type="http://schemas.openxmlformats.org/officeDocument/2006/relationships/hyperlink" Target="https://www.patrika.com/kaushambi-news" TargetMode="External"/><Relationship Id="rId442" Type="http://schemas.openxmlformats.org/officeDocument/2006/relationships/hyperlink" Target="https://cms.patrika.com/blog/location/sambhal-news/feed/" TargetMode="External"/><Relationship Id="rId320" Type="http://schemas.openxmlformats.org/officeDocument/2006/relationships/hyperlink" Target="https://cms.patrika.com/blog/location/kasganj-news/feed/" TargetMode="External"/><Relationship Id="rId441" Type="http://schemas.openxmlformats.org/officeDocument/2006/relationships/hyperlink" Target="https://www.patrika.com/sambhal-news" TargetMode="External"/><Relationship Id="rId316" Type="http://schemas.openxmlformats.org/officeDocument/2006/relationships/hyperlink" Target="https://cms.patrika.com/blog/location/etawah-news/feed/" TargetMode="External"/><Relationship Id="rId437" Type="http://schemas.openxmlformats.org/officeDocument/2006/relationships/hyperlink" Target="https://www.patrika.com/moradabad-news" TargetMode="External"/><Relationship Id="rId315" Type="http://schemas.openxmlformats.org/officeDocument/2006/relationships/hyperlink" Target="https://www.patrika.com/etawah-news" TargetMode="External"/><Relationship Id="rId436" Type="http://schemas.openxmlformats.org/officeDocument/2006/relationships/hyperlink" Target="https://cms.patrika.com/blog/location/bijnor-news/feed/" TargetMode="External"/><Relationship Id="rId314" Type="http://schemas.openxmlformats.org/officeDocument/2006/relationships/hyperlink" Target="https://cms.patrika.com/blog/location/etah-news/feed/" TargetMode="External"/><Relationship Id="rId435" Type="http://schemas.openxmlformats.org/officeDocument/2006/relationships/hyperlink" Target="https://www.patrika.com/bijnor-news" TargetMode="External"/><Relationship Id="rId313" Type="http://schemas.openxmlformats.org/officeDocument/2006/relationships/hyperlink" Target="https://www.patrika.com/etah-news" TargetMode="External"/><Relationship Id="rId434" Type="http://schemas.openxmlformats.org/officeDocument/2006/relationships/hyperlink" Target="https://cms.patrika.com/blog/location/amroha-news/feed/" TargetMode="External"/><Relationship Id="rId319" Type="http://schemas.openxmlformats.org/officeDocument/2006/relationships/hyperlink" Target="https://www.patrika.com/kasganj-news" TargetMode="External"/><Relationship Id="rId318" Type="http://schemas.openxmlformats.org/officeDocument/2006/relationships/hyperlink" Target="https://cms.patrika.com/blog/location/hathras-news/feed/" TargetMode="External"/><Relationship Id="rId439" Type="http://schemas.openxmlformats.org/officeDocument/2006/relationships/hyperlink" Target="https://www.patrika.com/rampur-news" TargetMode="External"/><Relationship Id="rId317" Type="http://schemas.openxmlformats.org/officeDocument/2006/relationships/hyperlink" Target="https://www.patrika.com/hathras-news" TargetMode="External"/><Relationship Id="rId438" Type="http://schemas.openxmlformats.org/officeDocument/2006/relationships/hyperlink" Target="https://cms.patrika.com/blog/location/moradabad-news/feed/" TargetMode="External"/><Relationship Id="rId312" Type="http://schemas.openxmlformats.org/officeDocument/2006/relationships/hyperlink" Target="https://cms.patrika.com/blog/location/aligarh-news/feed/" TargetMode="External"/><Relationship Id="rId433" Type="http://schemas.openxmlformats.org/officeDocument/2006/relationships/hyperlink" Target="https://www.patrika.com/amroha-news" TargetMode="External"/><Relationship Id="rId311" Type="http://schemas.openxmlformats.org/officeDocument/2006/relationships/hyperlink" Target="https://www.patrika.com/aligarh-news" TargetMode="External"/><Relationship Id="rId432" Type="http://schemas.openxmlformats.org/officeDocument/2006/relationships/hyperlink" Target="https://cms.patrika.com/blog/location/sonbhadra-news/feed/" TargetMode="External"/><Relationship Id="rId310" Type="http://schemas.openxmlformats.org/officeDocument/2006/relationships/hyperlink" Target="https://cms.patrika.com/blog/location/mathura-news/feed/" TargetMode="External"/><Relationship Id="rId431" Type="http://schemas.openxmlformats.org/officeDocument/2006/relationships/hyperlink" Target="https://www.patrika.com/sonbhadra-news" TargetMode="External"/><Relationship Id="rId430" Type="http://schemas.openxmlformats.org/officeDocument/2006/relationships/hyperlink" Target="https://cms.patrika.com/blog/location/mirzapur-news/feed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cms.patrika.com/blog/location/lakhimpur-kheri-news/feed/" TargetMode="External"/><Relationship Id="rId194" Type="http://schemas.openxmlformats.org/officeDocument/2006/relationships/hyperlink" Target="https://cms.patrika.com/blog/location/raebareli-news/feed/" TargetMode="External"/><Relationship Id="rId193" Type="http://schemas.openxmlformats.org/officeDocument/2006/relationships/hyperlink" Target="https://cms.patrika.com/blog/location/lucknow-news/feed/" TargetMode="External"/><Relationship Id="rId192" Type="http://schemas.openxmlformats.org/officeDocument/2006/relationships/hyperlink" Target="https://cms.patrika.com/blog/location/lucknow-news/feed/" TargetMode="External"/><Relationship Id="rId191" Type="http://schemas.openxmlformats.org/officeDocument/2006/relationships/hyperlink" Target="https://cms.patrika.com/blog/location/lakhimpur-kheri-news/feed/" TargetMode="External"/><Relationship Id="rId187" Type="http://schemas.openxmlformats.org/officeDocument/2006/relationships/hyperlink" Target="https://cms.patrika.com/blog/location/kanpur-news/feed/" TargetMode="External"/><Relationship Id="rId186" Type="http://schemas.openxmlformats.org/officeDocument/2006/relationships/hyperlink" Target="https://cms.patrika.com/blog/location/kanpur-news/feed/" TargetMode="External"/><Relationship Id="rId185" Type="http://schemas.openxmlformats.org/officeDocument/2006/relationships/hyperlink" Target="https://cms.patrika.com/blog/location/kannauj-news/feed/" TargetMode="External"/><Relationship Id="rId184" Type="http://schemas.openxmlformats.org/officeDocument/2006/relationships/hyperlink" Target="https://cms.patrika.com/blog/location/kannauj-news/feed/" TargetMode="External"/><Relationship Id="rId189" Type="http://schemas.openxmlformats.org/officeDocument/2006/relationships/hyperlink" Target="https://cms.patrika.com/blog/location/hardoi-news/feed/" TargetMode="External"/><Relationship Id="rId188" Type="http://schemas.openxmlformats.org/officeDocument/2006/relationships/hyperlink" Target="https://cms.patrika.com/blog/location/hardoi-news/feed/" TargetMode="External"/><Relationship Id="rId183" Type="http://schemas.openxmlformats.org/officeDocument/2006/relationships/hyperlink" Target="https://cms.patrika.com/blog/location/farrukhabad-news/feed/" TargetMode="External"/><Relationship Id="rId182" Type="http://schemas.openxmlformats.org/officeDocument/2006/relationships/hyperlink" Target="https://cms.patrika.com/blog/location/farrukhabad-news/feed/" TargetMode="External"/><Relationship Id="rId181" Type="http://schemas.openxmlformats.org/officeDocument/2006/relationships/hyperlink" Target="https://cms.patrika.com/blog/location/auraiya-news/feed/" TargetMode="External"/><Relationship Id="rId180" Type="http://schemas.openxmlformats.org/officeDocument/2006/relationships/hyperlink" Target="https://cms.patrika.com/blog/location/auraiya-news/feed/" TargetMode="External"/><Relationship Id="rId176" Type="http://schemas.openxmlformats.org/officeDocument/2006/relationships/hyperlink" Target="https://cms.patrika.com/blog/location/jhansi-news/feed/" TargetMode="External"/><Relationship Id="rId175" Type="http://schemas.openxmlformats.org/officeDocument/2006/relationships/hyperlink" Target="https://cms.patrika.com/blog/location/jalaun-news/feed/" TargetMode="External"/><Relationship Id="rId174" Type="http://schemas.openxmlformats.org/officeDocument/2006/relationships/hyperlink" Target="https://cms.patrika.com/blog/location/jalaun-news/feed/" TargetMode="External"/><Relationship Id="rId173" Type="http://schemas.openxmlformats.org/officeDocument/2006/relationships/hyperlink" Target="https://cms.patrika.com/blog/location/mahrajganj-news/feed/" TargetMode="External"/><Relationship Id="rId179" Type="http://schemas.openxmlformats.org/officeDocument/2006/relationships/hyperlink" Target="https://cms.patrika.com/blog/location/lalitpur-news/feed/" TargetMode="External"/><Relationship Id="rId178" Type="http://schemas.openxmlformats.org/officeDocument/2006/relationships/hyperlink" Target="https://cms.patrika.com/blog/location/lalitpur-news/feed/" TargetMode="External"/><Relationship Id="rId177" Type="http://schemas.openxmlformats.org/officeDocument/2006/relationships/hyperlink" Target="https://cms.patrika.com/blog/location/jhansi-news/feed/" TargetMode="External"/><Relationship Id="rId198" Type="http://schemas.openxmlformats.org/officeDocument/2006/relationships/hyperlink" Target="https://cms.patrika.com/blog/location/unnao-news/feed/" TargetMode="External"/><Relationship Id="rId197" Type="http://schemas.openxmlformats.org/officeDocument/2006/relationships/hyperlink" Target="https://cms.patrika.com/blog/location/sitapur-news/feed/" TargetMode="External"/><Relationship Id="rId196" Type="http://schemas.openxmlformats.org/officeDocument/2006/relationships/hyperlink" Target="https://cms.patrika.com/blog/location/sitapur-news/feed/" TargetMode="External"/><Relationship Id="rId195" Type="http://schemas.openxmlformats.org/officeDocument/2006/relationships/hyperlink" Target="https://cms.patrika.com/blog/location/raebareli-news/feed/" TargetMode="External"/><Relationship Id="rId199" Type="http://schemas.openxmlformats.org/officeDocument/2006/relationships/hyperlink" Target="https://cms.patrika.com/blog/location/unnao-news/feed/" TargetMode="External"/><Relationship Id="rId150" Type="http://schemas.openxmlformats.org/officeDocument/2006/relationships/hyperlink" Target="https://cms.patrika.com/blog/location/ayodhya-news/feed/" TargetMode="External"/><Relationship Id="rId1" Type="http://schemas.openxmlformats.org/officeDocument/2006/relationships/hyperlink" Target="https://www.patrika.com/uttar-pradesh-news" TargetMode="External"/><Relationship Id="rId2" Type="http://schemas.openxmlformats.org/officeDocument/2006/relationships/hyperlink" Target="https://cms.patrika.com/blog/location/uttar-pradesh-news/feed/" TargetMode="External"/><Relationship Id="rId3" Type="http://schemas.openxmlformats.org/officeDocument/2006/relationships/hyperlink" Target="https://www.patrika.com/agra-news" TargetMode="External"/><Relationship Id="rId149" Type="http://schemas.openxmlformats.org/officeDocument/2006/relationships/hyperlink" Target="https://www.patrika.com/moradabad-news" TargetMode="External"/><Relationship Id="rId4" Type="http://schemas.openxmlformats.org/officeDocument/2006/relationships/hyperlink" Target="https://cms.patrika.com/blog/location/uttar-pradesh-news/feed/" TargetMode="External"/><Relationship Id="rId148" Type="http://schemas.openxmlformats.org/officeDocument/2006/relationships/hyperlink" Target="https://cms.patrika.com/blog/location/amethi-news/feed/" TargetMode="External"/><Relationship Id="rId9" Type="http://schemas.openxmlformats.org/officeDocument/2006/relationships/hyperlink" Target="https://cms.patrika.com/blog/location/firozabad-news/feed/" TargetMode="External"/><Relationship Id="rId143" Type="http://schemas.openxmlformats.org/officeDocument/2006/relationships/hyperlink" Target="https://www.patrika.com/sonbhadra-news" TargetMode="External"/><Relationship Id="rId142" Type="http://schemas.openxmlformats.org/officeDocument/2006/relationships/hyperlink" Target="https://cms.patrika.com/blog/location/ambedkar-nagar-news/feed/" TargetMode="External"/><Relationship Id="rId141" Type="http://schemas.openxmlformats.org/officeDocument/2006/relationships/hyperlink" Target="https://www.patrika.com/mirzapur-news" TargetMode="External"/><Relationship Id="rId140" Type="http://schemas.openxmlformats.org/officeDocument/2006/relationships/hyperlink" Target="https://cms.patrika.com/blog/location/shravasti-news/feed/" TargetMode="External"/><Relationship Id="rId5" Type="http://schemas.openxmlformats.org/officeDocument/2006/relationships/hyperlink" Target="https://www.patrika.com/firozabad-news" TargetMode="External"/><Relationship Id="rId147" Type="http://schemas.openxmlformats.org/officeDocument/2006/relationships/hyperlink" Target="https://www.patrika.com/bijnor-news" TargetMode="External"/><Relationship Id="rId6" Type="http://schemas.openxmlformats.org/officeDocument/2006/relationships/hyperlink" Target="https://cms.patrika.com/blog/location/agra-news/feed/" TargetMode="External"/><Relationship Id="rId146" Type="http://schemas.openxmlformats.org/officeDocument/2006/relationships/hyperlink" Target="https://cms.patrika.com/blog/location/amethi-news/feed/" TargetMode="External"/><Relationship Id="rId7" Type="http://schemas.openxmlformats.org/officeDocument/2006/relationships/hyperlink" Target="https://cms.patrika.com/blog/location/agra-news/feed/" TargetMode="External"/><Relationship Id="rId145" Type="http://schemas.openxmlformats.org/officeDocument/2006/relationships/hyperlink" Target="https://www.patrika.com/amroha-news" TargetMode="External"/><Relationship Id="rId8" Type="http://schemas.openxmlformats.org/officeDocument/2006/relationships/hyperlink" Target="https://www.patrika.com/mainpuri-news" TargetMode="External"/><Relationship Id="rId144" Type="http://schemas.openxmlformats.org/officeDocument/2006/relationships/hyperlink" Target="https://cms.patrika.com/blog/location/ambedkar-nagar-news/feed/" TargetMode="External"/><Relationship Id="rId139" Type="http://schemas.openxmlformats.org/officeDocument/2006/relationships/hyperlink" Target="https://www.patrika.com/bhadohi-news" TargetMode="External"/><Relationship Id="rId138" Type="http://schemas.openxmlformats.org/officeDocument/2006/relationships/hyperlink" Target="https://cms.patrika.com/blog/location/shravasti-news/feed/" TargetMode="External"/><Relationship Id="rId137" Type="http://schemas.openxmlformats.org/officeDocument/2006/relationships/hyperlink" Target="https://www.patrika.com/meerut-news" TargetMode="External"/><Relationship Id="rId132" Type="http://schemas.openxmlformats.org/officeDocument/2006/relationships/hyperlink" Target="https://cms.patrika.com/blog/location/balrampur-up-news/feed/" TargetMode="External"/><Relationship Id="rId131" Type="http://schemas.openxmlformats.org/officeDocument/2006/relationships/hyperlink" Target="https://www.patrika.com/ghaziabad-news" TargetMode="External"/><Relationship Id="rId130" Type="http://schemas.openxmlformats.org/officeDocument/2006/relationships/hyperlink" Target="https://cms.patrika.com/blog/location/balrampur-up-news/feed/" TargetMode="External"/><Relationship Id="rId136" Type="http://schemas.openxmlformats.org/officeDocument/2006/relationships/hyperlink" Target="https://cms.patrika.com/blog/location/gonda-news/feed/" TargetMode="External"/><Relationship Id="rId135" Type="http://schemas.openxmlformats.org/officeDocument/2006/relationships/hyperlink" Target="https://www.patrika.com/hapur-news" TargetMode="External"/><Relationship Id="rId134" Type="http://schemas.openxmlformats.org/officeDocument/2006/relationships/hyperlink" Target="https://cms.patrika.com/blog/location/gonda-news/feed/" TargetMode="External"/><Relationship Id="rId133" Type="http://schemas.openxmlformats.org/officeDocument/2006/relationships/hyperlink" Target="https://www.patrika.com/ghazipur-news" TargetMode="External"/><Relationship Id="rId172" Type="http://schemas.openxmlformats.org/officeDocument/2006/relationships/hyperlink" Target="https://cms.patrika.com/blog/location/mahrajganj-news/feed/" TargetMode="External"/><Relationship Id="rId171" Type="http://schemas.openxmlformats.org/officeDocument/2006/relationships/hyperlink" Target="https://cms.patrika.com/blog/location/kushinagar-news/feed/" TargetMode="External"/><Relationship Id="rId170" Type="http://schemas.openxmlformats.org/officeDocument/2006/relationships/hyperlink" Target="https://cms.patrika.com/blog/location/kushinagar-news/feed/" TargetMode="External"/><Relationship Id="rId165" Type="http://schemas.openxmlformats.org/officeDocument/2006/relationships/hyperlink" Target="https://www.patrika.com/varanasi-news" TargetMode="External"/><Relationship Id="rId164" Type="http://schemas.openxmlformats.org/officeDocument/2006/relationships/hyperlink" Target="https://cms.patrika.com/blog/location/sultanpur-news/feed/" TargetMode="External"/><Relationship Id="rId163" Type="http://schemas.openxmlformats.org/officeDocument/2006/relationships/hyperlink" Target="https://www.patrika.com/jaunpur-news" TargetMode="External"/><Relationship Id="rId162" Type="http://schemas.openxmlformats.org/officeDocument/2006/relationships/hyperlink" Target="https://cms.patrika.com/blog/location/sultanpur-news/feed/" TargetMode="External"/><Relationship Id="rId169" Type="http://schemas.openxmlformats.org/officeDocument/2006/relationships/hyperlink" Target="https://cms.patrika.com/blog/location/gorakhpur-news/feed/" TargetMode="External"/><Relationship Id="rId168" Type="http://schemas.openxmlformats.org/officeDocument/2006/relationships/hyperlink" Target="https://cms.patrika.com/blog/location/gorakhpur-news/feed/" TargetMode="External"/><Relationship Id="rId167" Type="http://schemas.openxmlformats.org/officeDocument/2006/relationships/hyperlink" Target="https://cms.patrika.com/blog/location/deoria-news/feed/" TargetMode="External"/><Relationship Id="rId166" Type="http://schemas.openxmlformats.org/officeDocument/2006/relationships/hyperlink" Target="https://cms.patrika.com/blog/location/deoria-news/feed/" TargetMode="External"/><Relationship Id="rId161" Type="http://schemas.openxmlformats.org/officeDocument/2006/relationships/hyperlink" Target="https://www.patrika.com/chandauli-news" TargetMode="External"/><Relationship Id="rId160" Type="http://schemas.openxmlformats.org/officeDocument/2006/relationships/hyperlink" Target="https://cms.patrika.com/blog/location/faizabad-news/feed/" TargetMode="External"/><Relationship Id="rId159" Type="http://schemas.openxmlformats.org/officeDocument/2006/relationships/hyperlink" Target="https://www.patrika.com/shamli-news" TargetMode="External"/><Relationship Id="rId154" Type="http://schemas.openxmlformats.org/officeDocument/2006/relationships/hyperlink" Target="https://cms.patrika.com/blog/location/barabanki-news/feed/" TargetMode="External"/><Relationship Id="rId153" Type="http://schemas.openxmlformats.org/officeDocument/2006/relationships/hyperlink" Target="https://www.patrika.com/sambhal-news" TargetMode="External"/><Relationship Id="rId152" Type="http://schemas.openxmlformats.org/officeDocument/2006/relationships/hyperlink" Target="https://cms.patrika.com/blog/location/ayodhya-news/feed/" TargetMode="External"/><Relationship Id="rId151" Type="http://schemas.openxmlformats.org/officeDocument/2006/relationships/hyperlink" Target="https://www.patrika.com/rampur-news" TargetMode="External"/><Relationship Id="rId158" Type="http://schemas.openxmlformats.org/officeDocument/2006/relationships/hyperlink" Target="https://cms.patrika.com/blog/location/faizabad-news/feed/" TargetMode="External"/><Relationship Id="rId157" Type="http://schemas.openxmlformats.org/officeDocument/2006/relationships/hyperlink" Target="https://www.patrika.com/saharanpur-news" TargetMode="External"/><Relationship Id="rId156" Type="http://schemas.openxmlformats.org/officeDocument/2006/relationships/hyperlink" Target="https://cms.patrika.com/blog/location/barabanki-news/feed/" TargetMode="External"/><Relationship Id="rId155" Type="http://schemas.openxmlformats.org/officeDocument/2006/relationships/hyperlink" Target="https://www.patrika.com/muzaffarnagar-news" TargetMode="External"/><Relationship Id="rId40" Type="http://schemas.openxmlformats.org/officeDocument/2006/relationships/hyperlink" Target="https://www.patrika.com/mau-news" TargetMode="External"/><Relationship Id="rId42" Type="http://schemas.openxmlformats.org/officeDocument/2006/relationships/hyperlink" Target="https://cms.patrika.com/blog/location/hathras-news/feed/" TargetMode="External"/><Relationship Id="rId41" Type="http://schemas.openxmlformats.org/officeDocument/2006/relationships/hyperlink" Target="https://cms.patrika.com/blog/location/ballia-news/feed/" TargetMode="External"/><Relationship Id="rId44" Type="http://schemas.openxmlformats.org/officeDocument/2006/relationships/hyperlink" Target="https://cms.patrika.com/blog/location/mau-news/feed/" TargetMode="External"/><Relationship Id="rId43" Type="http://schemas.openxmlformats.org/officeDocument/2006/relationships/hyperlink" Target="https://www.patrika.com/bareilly-news" TargetMode="External"/><Relationship Id="rId46" Type="http://schemas.openxmlformats.org/officeDocument/2006/relationships/hyperlink" Target="https://cms.patrika.com/blog/location/bareilly-news/feed/" TargetMode="External"/><Relationship Id="rId45" Type="http://schemas.openxmlformats.org/officeDocument/2006/relationships/hyperlink" Target="https://www.patrika.com/budaun-news" TargetMode="External"/><Relationship Id="rId48" Type="http://schemas.openxmlformats.org/officeDocument/2006/relationships/hyperlink" Target="https://www.patrika.com/pilibhit-news" TargetMode="External"/><Relationship Id="rId47" Type="http://schemas.openxmlformats.org/officeDocument/2006/relationships/hyperlink" Target="https://cms.patrika.com/blog/location/kasganj-news/feed/" TargetMode="External"/><Relationship Id="rId49" Type="http://schemas.openxmlformats.org/officeDocument/2006/relationships/hyperlink" Target="https://cms.patrika.com/blog/location/budaun-news/feed/" TargetMode="External"/><Relationship Id="rId31" Type="http://schemas.openxmlformats.org/officeDocument/2006/relationships/hyperlink" Target="https://cms.patrika.com/blog/location/prayagraj/feed/" TargetMode="External"/><Relationship Id="rId30" Type="http://schemas.openxmlformats.org/officeDocument/2006/relationships/hyperlink" Target="https://www.patrika.com/fatehpur-news" TargetMode="External"/><Relationship Id="rId33" Type="http://schemas.openxmlformats.org/officeDocument/2006/relationships/hyperlink" Target="https://www.patrika.com/pratapgarh-news" TargetMode="External"/><Relationship Id="rId32" Type="http://schemas.openxmlformats.org/officeDocument/2006/relationships/hyperlink" Target="https://cms.patrika.com/blog/location/etah-news/feed/" TargetMode="External"/><Relationship Id="rId35" Type="http://schemas.openxmlformats.org/officeDocument/2006/relationships/hyperlink" Target="https://www.patrika.com/azamgarh-news" TargetMode="External"/><Relationship Id="rId34" Type="http://schemas.openxmlformats.org/officeDocument/2006/relationships/hyperlink" Target="https://cms.patrika.com/blog/location/fatehpur-news/feed/" TargetMode="External"/><Relationship Id="rId37" Type="http://schemas.openxmlformats.org/officeDocument/2006/relationships/hyperlink" Target="https://cms.patrika.com/blog/location/etawah-news/feed/" TargetMode="External"/><Relationship Id="rId36" Type="http://schemas.openxmlformats.org/officeDocument/2006/relationships/hyperlink" Target="https://cms.patrika.com/blog/location/pratapgarh-up-news/feed/" TargetMode="External"/><Relationship Id="rId39" Type="http://schemas.openxmlformats.org/officeDocument/2006/relationships/hyperlink" Target="https://cms.patrika.com/blog/location/azamgarh-news/feed/" TargetMode="External"/><Relationship Id="rId38" Type="http://schemas.openxmlformats.org/officeDocument/2006/relationships/hyperlink" Target="https://www.patrika.com/ballia-news" TargetMode="External"/><Relationship Id="rId20" Type="http://schemas.openxmlformats.org/officeDocument/2006/relationships/hyperlink" Target="https://www.patrika.com/hathras-news" TargetMode="External"/><Relationship Id="rId22" Type="http://schemas.openxmlformats.org/officeDocument/2006/relationships/hyperlink" Target="https://cms.patrika.com/blog/location/mathura-news/feed/" TargetMode="External"/><Relationship Id="rId21" Type="http://schemas.openxmlformats.org/officeDocument/2006/relationships/hyperlink" Target="https://cms.patrika.com/blog/location/etawah-news/feed/" TargetMode="External"/><Relationship Id="rId24" Type="http://schemas.openxmlformats.org/officeDocument/2006/relationships/hyperlink" Target="https://cms.patrika.com/blog/location/hathras-news/feed/" TargetMode="External"/><Relationship Id="rId23" Type="http://schemas.openxmlformats.org/officeDocument/2006/relationships/hyperlink" Target="https://www.patrika.com/kasganj-news" TargetMode="External"/><Relationship Id="rId26" Type="http://schemas.openxmlformats.org/officeDocument/2006/relationships/hyperlink" Target="https://cms.patrika.com/blog/location/kasganj-news/feed/" TargetMode="External"/><Relationship Id="rId25" Type="http://schemas.openxmlformats.org/officeDocument/2006/relationships/hyperlink" Target="https://www.patrika.com/kaushambi-news" TargetMode="External"/><Relationship Id="rId28" Type="http://schemas.openxmlformats.org/officeDocument/2006/relationships/hyperlink" Target="https://www.patrika.com/prayagraj-news" TargetMode="External"/><Relationship Id="rId27" Type="http://schemas.openxmlformats.org/officeDocument/2006/relationships/hyperlink" Target="https://cms.patrika.com/blog/location/aligarh-news/feed/" TargetMode="External"/><Relationship Id="rId29" Type="http://schemas.openxmlformats.org/officeDocument/2006/relationships/hyperlink" Target="https://cms.patrika.com/blog/location/kaushambi-news/feed/" TargetMode="External"/><Relationship Id="rId11" Type="http://schemas.openxmlformats.org/officeDocument/2006/relationships/hyperlink" Target="https://cms.patrika.com/blog/location/mainpuri-news/feed/" TargetMode="External"/><Relationship Id="rId10" Type="http://schemas.openxmlformats.org/officeDocument/2006/relationships/hyperlink" Target="https://www.patrika.com/mathura-news" TargetMode="External"/><Relationship Id="rId13" Type="http://schemas.openxmlformats.org/officeDocument/2006/relationships/hyperlink" Target="https://www.patrika.com/aligarh-news" TargetMode="External"/><Relationship Id="rId12" Type="http://schemas.openxmlformats.org/officeDocument/2006/relationships/hyperlink" Target="https://cms.patrika.com/blog/location/firozabad-news/feed/" TargetMode="External"/><Relationship Id="rId15" Type="http://schemas.openxmlformats.org/officeDocument/2006/relationships/hyperlink" Target="https://www.patrika.com/etah-news" TargetMode="External"/><Relationship Id="rId14" Type="http://schemas.openxmlformats.org/officeDocument/2006/relationships/hyperlink" Target="https://cms.patrika.com/blog/location/mathura-news/feed/" TargetMode="External"/><Relationship Id="rId17" Type="http://schemas.openxmlformats.org/officeDocument/2006/relationships/hyperlink" Target="https://cms.patrika.com/blog/location/mainpuri-news/feed/" TargetMode="External"/><Relationship Id="rId16" Type="http://schemas.openxmlformats.org/officeDocument/2006/relationships/hyperlink" Target="https://cms.patrika.com/blog/location/aligarh-news/feed/" TargetMode="External"/><Relationship Id="rId19" Type="http://schemas.openxmlformats.org/officeDocument/2006/relationships/hyperlink" Target="https://cms.patrika.com/blog/location/etah-news/feed/" TargetMode="External"/><Relationship Id="rId18" Type="http://schemas.openxmlformats.org/officeDocument/2006/relationships/hyperlink" Target="https://www.patrika.com/etawah-news" TargetMode="External"/><Relationship Id="rId84" Type="http://schemas.openxmlformats.org/officeDocument/2006/relationships/hyperlink" Target="https://cms.patrika.com/blog/location/bareilly-news/feed/" TargetMode="External"/><Relationship Id="rId83" Type="http://schemas.openxmlformats.org/officeDocument/2006/relationships/hyperlink" Target="https://www.patrika.com/barabanki-news" TargetMode="External"/><Relationship Id="rId86" Type="http://schemas.openxmlformats.org/officeDocument/2006/relationships/hyperlink" Target="https://cms.patrika.com/blog/location/budaun-news/feed/" TargetMode="External"/><Relationship Id="rId85" Type="http://schemas.openxmlformats.org/officeDocument/2006/relationships/hyperlink" Target="https://www.patrika.com/faizabad-news" TargetMode="External"/><Relationship Id="rId88" Type="http://schemas.openxmlformats.org/officeDocument/2006/relationships/hyperlink" Target="https://cms.patrika.com/blog/location/budaun-news/feed/" TargetMode="External"/><Relationship Id="rId87" Type="http://schemas.openxmlformats.org/officeDocument/2006/relationships/hyperlink" Target="https://www.patrika.com/sultanpur-news" TargetMode="External"/><Relationship Id="rId89" Type="http://schemas.openxmlformats.org/officeDocument/2006/relationships/hyperlink" Target="https://www.patrika.com/deoria-news" TargetMode="External"/><Relationship Id="rId80" Type="http://schemas.openxmlformats.org/officeDocument/2006/relationships/hyperlink" Target="https://cms.patrika.com/blog/location/mau-news/feed/" TargetMode="External"/><Relationship Id="rId82" Type="http://schemas.openxmlformats.org/officeDocument/2006/relationships/hyperlink" Target="https://cms.patrika.com/blog/location/bareilly-news/feed/" TargetMode="External"/><Relationship Id="rId81" Type="http://schemas.openxmlformats.org/officeDocument/2006/relationships/hyperlink" Target="https://www.patrika.com/ayodhya-news" TargetMode="External"/><Relationship Id="rId73" Type="http://schemas.openxmlformats.org/officeDocument/2006/relationships/hyperlink" Target="https://www.patrika.com/gonda-news" TargetMode="External"/><Relationship Id="rId72" Type="http://schemas.openxmlformats.org/officeDocument/2006/relationships/hyperlink" Target="https://cms.patrika.com/blog/location/azamgarh-news/feed/" TargetMode="External"/><Relationship Id="rId75" Type="http://schemas.openxmlformats.org/officeDocument/2006/relationships/hyperlink" Target="https://www.patrika.com/shravasti-news" TargetMode="External"/><Relationship Id="rId74" Type="http://schemas.openxmlformats.org/officeDocument/2006/relationships/hyperlink" Target="https://cms.patrika.com/blog/location/ballia-news/feed/" TargetMode="External"/><Relationship Id="rId77" Type="http://schemas.openxmlformats.org/officeDocument/2006/relationships/hyperlink" Target="https://www.patrika.com/ambedkar-nagar-news" TargetMode="External"/><Relationship Id="rId76" Type="http://schemas.openxmlformats.org/officeDocument/2006/relationships/hyperlink" Target="https://cms.patrika.com/blog/location/ballia-news/feed/" TargetMode="External"/><Relationship Id="rId79" Type="http://schemas.openxmlformats.org/officeDocument/2006/relationships/hyperlink" Target="https://www.patrika.com/amethi-news" TargetMode="External"/><Relationship Id="rId78" Type="http://schemas.openxmlformats.org/officeDocument/2006/relationships/hyperlink" Target="https://cms.patrika.com/blog/location/mau-news/feed/" TargetMode="External"/><Relationship Id="rId71" Type="http://schemas.openxmlformats.org/officeDocument/2006/relationships/hyperlink" Target="https://www.patrika.com/balrampur-news" TargetMode="External"/><Relationship Id="rId70" Type="http://schemas.openxmlformats.org/officeDocument/2006/relationships/hyperlink" Target="https://cms.patrika.com/blog/location/azamgarh-news/feed/" TargetMode="External"/><Relationship Id="rId62" Type="http://schemas.openxmlformats.org/officeDocument/2006/relationships/hyperlink" Target="https://cms.patrika.com/blog/location/fatehpur-news/feed/" TargetMode="External"/><Relationship Id="rId61" Type="http://schemas.openxmlformats.org/officeDocument/2006/relationships/hyperlink" Target="https://www.patrika.com/banda-news" TargetMode="External"/><Relationship Id="rId64" Type="http://schemas.openxmlformats.org/officeDocument/2006/relationships/hyperlink" Target="https://cms.patrika.com/blog/location/fatehpur-news/feed/" TargetMode="External"/><Relationship Id="rId63" Type="http://schemas.openxmlformats.org/officeDocument/2006/relationships/hyperlink" Target="https://www.patrika.com/chitrakoot-news" TargetMode="External"/><Relationship Id="rId66" Type="http://schemas.openxmlformats.org/officeDocument/2006/relationships/hyperlink" Target="https://cms.patrika.com/blog/location/pratapgarh-up-news/feed/" TargetMode="External"/><Relationship Id="rId65" Type="http://schemas.openxmlformats.org/officeDocument/2006/relationships/hyperlink" Target="https://www.patrika.com/hamirpur-news" TargetMode="External"/><Relationship Id="rId68" Type="http://schemas.openxmlformats.org/officeDocument/2006/relationships/hyperlink" Target="https://cms.patrika.com/blog/location/pratapgarh-up-news/feed/" TargetMode="External"/><Relationship Id="rId67" Type="http://schemas.openxmlformats.org/officeDocument/2006/relationships/hyperlink" Target="https://www.patrika.com/mahoba-news" TargetMode="External"/><Relationship Id="rId60" Type="http://schemas.openxmlformats.org/officeDocument/2006/relationships/hyperlink" Target="https://cms.patrika.com/blog/location/prayagraj/feed/" TargetMode="External"/><Relationship Id="rId69" Type="http://schemas.openxmlformats.org/officeDocument/2006/relationships/hyperlink" Target="https://www.patrika.com/bahraich-news" TargetMode="External"/><Relationship Id="rId51" Type="http://schemas.openxmlformats.org/officeDocument/2006/relationships/hyperlink" Target="https://www.patrika.com/shahjahanpur-news" TargetMode="External"/><Relationship Id="rId50" Type="http://schemas.openxmlformats.org/officeDocument/2006/relationships/hyperlink" Target="https://cms.patrika.com/blog/location/kasganj-news/feed/" TargetMode="External"/><Relationship Id="rId53" Type="http://schemas.openxmlformats.org/officeDocument/2006/relationships/hyperlink" Target="https://cms.patrika.com/blog/location/kaushambi-news/feed/" TargetMode="External"/><Relationship Id="rId52" Type="http://schemas.openxmlformats.org/officeDocument/2006/relationships/hyperlink" Target="https://cms.patrika.com/blog/location/pilibhit-news/feed/" TargetMode="External"/><Relationship Id="rId55" Type="http://schemas.openxmlformats.org/officeDocument/2006/relationships/hyperlink" Target="https://cms.patrika.com/blog/location/shahjahanpur-news/feed/" TargetMode="External"/><Relationship Id="rId54" Type="http://schemas.openxmlformats.org/officeDocument/2006/relationships/hyperlink" Target="https://www.patrika.com/basti-news" TargetMode="External"/><Relationship Id="rId57" Type="http://schemas.openxmlformats.org/officeDocument/2006/relationships/hyperlink" Target="https://www.patrika.com/sant-kabir-nagar-news" TargetMode="External"/><Relationship Id="rId56" Type="http://schemas.openxmlformats.org/officeDocument/2006/relationships/hyperlink" Target="https://cms.patrika.com/blog/location/kaushambi-news/feed/" TargetMode="External"/><Relationship Id="rId59" Type="http://schemas.openxmlformats.org/officeDocument/2006/relationships/hyperlink" Target="https://www.patrika.com/sidharthnagar-news" TargetMode="External"/><Relationship Id="rId58" Type="http://schemas.openxmlformats.org/officeDocument/2006/relationships/hyperlink" Target="https://cms.patrika.com/blog/location/prayagraj/feed/" TargetMode="External"/><Relationship Id="rId107" Type="http://schemas.openxmlformats.org/officeDocument/2006/relationships/hyperlink" Target="https://www.patrika.com/kannauj-news" TargetMode="External"/><Relationship Id="rId228" Type="http://schemas.openxmlformats.org/officeDocument/2006/relationships/hyperlink" Target="https://cms.patrika.com/blog/location/rampur-news/feed/" TargetMode="External"/><Relationship Id="rId106" Type="http://schemas.openxmlformats.org/officeDocument/2006/relationships/hyperlink" Target="https://cms.patrika.com/blog/location/sidharthnagar-news/feed/" TargetMode="External"/><Relationship Id="rId227" Type="http://schemas.openxmlformats.org/officeDocument/2006/relationships/hyperlink" Target="https://cms.patrika.com/blog/location/moradabad-news/feed/" TargetMode="External"/><Relationship Id="rId105" Type="http://schemas.openxmlformats.org/officeDocument/2006/relationships/hyperlink" Target="https://www.patrika.com/farrukhabad-news" TargetMode="External"/><Relationship Id="rId226" Type="http://schemas.openxmlformats.org/officeDocument/2006/relationships/hyperlink" Target="https://cms.patrika.com/blog/location/moradabad-news/feed/" TargetMode="External"/><Relationship Id="rId104" Type="http://schemas.openxmlformats.org/officeDocument/2006/relationships/hyperlink" Target="https://cms.patrika.com/blog/location/sant-kabir-nagar-news/feed/" TargetMode="External"/><Relationship Id="rId225" Type="http://schemas.openxmlformats.org/officeDocument/2006/relationships/hyperlink" Target="https://cms.patrika.com/blog/location/bijnor-news/feed/" TargetMode="External"/><Relationship Id="rId109" Type="http://schemas.openxmlformats.org/officeDocument/2006/relationships/hyperlink" Target="https://www.patrika.com/kanpur-news" TargetMode="External"/><Relationship Id="rId108" Type="http://schemas.openxmlformats.org/officeDocument/2006/relationships/hyperlink" Target="https://cms.patrika.com/blog/location/sidharthnagar-news/feed/" TargetMode="External"/><Relationship Id="rId229" Type="http://schemas.openxmlformats.org/officeDocument/2006/relationships/hyperlink" Target="https://cms.patrika.com/blog/location/rampur-news/feed/" TargetMode="External"/><Relationship Id="rId220" Type="http://schemas.openxmlformats.org/officeDocument/2006/relationships/hyperlink" Target="https://cms.patrika.com/blog/location/sonbhadra-news/feed/" TargetMode="External"/><Relationship Id="rId103" Type="http://schemas.openxmlformats.org/officeDocument/2006/relationships/hyperlink" Target="https://www.patrika.com/auraiya-news" TargetMode="External"/><Relationship Id="rId224" Type="http://schemas.openxmlformats.org/officeDocument/2006/relationships/hyperlink" Target="https://cms.patrika.com/blog/location/bijnor-news/feed/" TargetMode="External"/><Relationship Id="rId102" Type="http://schemas.openxmlformats.org/officeDocument/2006/relationships/hyperlink" Target="https://cms.patrika.com/blog/location/sant-kabir-nagar-news/feed/" TargetMode="External"/><Relationship Id="rId223" Type="http://schemas.openxmlformats.org/officeDocument/2006/relationships/hyperlink" Target="https://cms.patrika.com/blog/location/amroha-news/feed/" TargetMode="External"/><Relationship Id="rId101" Type="http://schemas.openxmlformats.org/officeDocument/2006/relationships/hyperlink" Target="https://www.patrika.com/lalitpur-news" TargetMode="External"/><Relationship Id="rId222" Type="http://schemas.openxmlformats.org/officeDocument/2006/relationships/hyperlink" Target="https://cms.patrika.com/blog/location/amroha-news/feed/" TargetMode="External"/><Relationship Id="rId100" Type="http://schemas.openxmlformats.org/officeDocument/2006/relationships/hyperlink" Target="https://cms.patrika.com/blog/location/basti-news/feed/" TargetMode="External"/><Relationship Id="rId221" Type="http://schemas.openxmlformats.org/officeDocument/2006/relationships/hyperlink" Target="https://cms.patrika.com/blog/location/sonbhadra-news/feed/" TargetMode="External"/><Relationship Id="rId217" Type="http://schemas.openxmlformats.org/officeDocument/2006/relationships/hyperlink" Target="https://cms.patrika.com/blog/location/bhadohi-news/feed/" TargetMode="External"/><Relationship Id="rId216" Type="http://schemas.openxmlformats.org/officeDocument/2006/relationships/hyperlink" Target="https://cms.patrika.com/blog/location/bhadohi-news/feed/" TargetMode="External"/><Relationship Id="rId215" Type="http://schemas.openxmlformats.org/officeDocument/2006/relationships/hyperlink" Target="https://cms.patrika.com/blog/location/meerut-news/feed/" TargetMode="External"/><Relationship Id="rId214" Type="http://schemas.openxmlformats.org/officeDocument/2006/relationships/hyperlink" Target="https://cms.patrika.com/blog/location/meerut-news/feed/" TargetMode="External"/><Relationship Id="rId219" Type="http://schemas.openxmlformats.org/officeDocument/2006/relationships/hyperlink" Target="https://cms.patrika.com/blog/location/mirzapur-news/feed/" TargetMode="External"/><Relationship Id="rId218" Type="http://schemas.openxmlformats.org/officeDocument/2006/relationships/hyperlink" Target="https://cms.patrika.com/blog/location/mirzapur-news/feed/" TargetMode="External"/><Relationship Id="rId213" Type="http://schemas.openxmlformats.org/officeDocument/2006/relationships/hyperlink" Target="https://cms.patrika.com/blog/location/hapur-news/feed/" TargetMode="External"/><Relationship Id="rId212" Type="http://schemas.openxmlformats.org/officeDocument/2006/relationships/hyperlink" Target="https://cms.patrika.com/blog/location/hapur-news/feed/" TargetMode="External"/><Relationship Id="rId211" Type="http://schemas.openxmlformats.org/officeDocument/2006/relationships/hyperlink" Target="https://cms.patrika.com/blog/location/ghazipur-news/feed/" TargetMode="External"/><Relationship Id="rId210" Type="http://schemas.openxmlformats.org/officeDocument/2006/relationships/hyperlink" Target="https://cms.patrika.com/blog/location/ghazipur-news/feed/" TargetMode="External"/><Relationship Id="rId129" Type="http://schemas.openxmlformats.org/officeDocument/2006/relationships/hyperlink" Target="https://www.patrika.com/noida-news" TargetMode="External"/><Relationship Id="rId128" Type="http://schemas.openxmlformats.org/officeDocument/2006/relationships/hyperlink" Target="https://cms.patrika.com/blog/location/bahraich-news/feed/" TargetMode="External"/><Relationship Id="rId127" Type="http://schemas.openxmlformats.org/officeDocument/2006/relationships/hyperlink" Target="https://www.patrika.com/greater-noida-news" TargetMode="External"/><Relationship Id="rId126" Type="http://schemas.openxmlformats.org/officeDocument/2006/relationships/hyperlink" Target="https://cms.patrika.com/blog/location/bahraich-news/feed/" TargetMode="External"/><Relationship Id="rId121" Type="http://schemas.openxmlformats.org/officeDocument/2006/relationships/hyperlink" Target="https://www.patrika.com/unnao-news" TargetMode="External"/><Relationship Id="rId242" Type="http://schemas.openxmlformats.org/officeDocument/2006/relationships/hyperlink" Target="https://cms.patrika.com/blog/location/varanasi-news/feed/" TargetMode="External"/><Relationship Id="rId120" Type="http://schemas.openxmlformats.org/officeDocument/2006/relationships/hyperlink" Target="https://cms.patrika.com/blog/location/hamirpur-news/feed/" TargetMode="External"/><Relationship Id="rId241" Type="http://schemas.openxmlformats.org/officeDocument/2006/relationships/hyperlink" Target="https://cms.patrika.com/blog/location/jaunpur-news/feed/" TargetMode="External"/><Relationship Id="rId240" Type="http://schemas.openxmlformats.org/officeDocument/2006/relationships/hyperlink" Target="https://cms.patrika.com/blog/location/jaunpur-news/feed/" TargetMode="External"/><Relationship Id="rId125" Type="http://schemas.openxmlformats.org/officeDocument/2006/relationships/hyperlink" Target="https://www.patrika.com/bulandshahr-news" TargetMode="External"/><Relationship Id="rId124" Type="http://schemas.openxmlformats.org/officeDocument/2006/relationships/hyperlink" Target="https://cms.patrika.com/blog/location/mahoba-news/feed/" TargetMode="External"/><Relationship Id="rId123" Type="http://schemas.openxmlformats.org/officeDocument/2006/relationships/hyperlink" Target="https://www.patrika.com/bagpat-news" TargetMode="External"/><Relationship Id="rId244" Type="http://schemas.openxmlformats.org/officeDocument/2006/relationships/drawing" Target="../drawings/drawing4.xml"/><Relationship Id="rId122" Type="http://schemas.openxmlformats.org/officeDocument/2006/relationships/hyperlink" Target="https://cms.patrika.com/blog/location/mahoba-news/feed/" TargetMode="External"/><Relationship Id="rId243" Type="http://schemas.openxmlformats.org/officeDocument/2006/relationships/hyperlink" Target="https://cms.patrika.com/blog/location/varanasi-news/feed/" TargetMode="External"/><Relationship Id="rId95" Type="http://schemas.openxmlformats.org/officeDocument/2006/relationships/hyperlink" Target="https://www.patrika.com/mahrajganj-news" TargetMode="External"/><Relationship Id="rId94" Type="http://schemas.openxmlformats.org/officeDocument/2006/relationships/hyperlink" Target="https://cms.patrika.com/blog/location/shahjahanpur-news/feed/" TargetMode="External"/><Relationship Id="rId97" Type="http://schemas.openxmlformats.org/officeDocument/2006/relationships/hyperlink" Target="https://www.patrika.com/jalaun-news" TargetMode="External"/><Relationship Id="rId96" Type="http://schemas.openxmlformats.org/officeDocument/2006/relationships/hyperlink" Target="https://cms.patrika.com/blog/location/shahjahanpur-news/feed/" TargetMode="External"/><Relationship Id="rId99" Type="http://schemas.openxmlformats.org/officeDocument/2006/relationships/hyperlink" Target="https://www.patrika.com/jhansi-news" TargetMode="External"/><Relationship Id="rId98" Type="http://schemas.openxmlformats.org/officeDocument/2006/relationships/hyperlink" Target="https://cms.patrika.com/blog/location/basti-news/feed/" TargetMode="External"/><Relationship Id="rId91" Type="http://schemas.openxmlformats.org/officeDocument/2006/relationships/hyperlink" Target="https://www.patrika.com/gorakhpur-news" TargetMode="External"/><Relationship Id="rId90" Type="http://schemas.openxmlformats.org/officeDocument/2006/relationships/hyperlink" Target="https://cms.patrika.com/blog/location/pilibhit-news/feed/" TargetMode="External"/><Relationship Id="rId93" Type="http://schemas.openxmlformats.org/officeDocument/2006/relationships/hyperlink" Target="https://www.patrika.com/kushinagar-news" TargetMode="External"/><Relationship Id="rId92" Type="http://schemas.openxmlformats.org/officeDocument/2006/relationships/hyperlink" Target="https://cms.patrika.com/blog/location/pilibhit-news/feed/" TargetMode="External"/><Relationship Id="rId118" Type="http://schemas.openxmlformats.org/officeDocument/2006/relationships/hyperlink" Target="https://cms.patrika.com/blog/location/hamirpur-news/feed/" TargetMode="External"/><Relationship Id="rId239" Type="http://schemas.openxmlformats.org/officeDocument/2006/relationships/hyperlink" Target="https://cms.patrika.com/blog/location/chandauli-news/feed/" TargetMode="External"/><Relationship Id="rId117" Type="http://schemas.openxmlformats.org/officeDocument/2006/relationships/hyperlink" Target="https://www.patrika.com/raebareli-news" TargetMode="External"/><Relationship Id="rId238" Type="http://schemas.openxmlformats.org/officeDocument/2006/relationships/hyperlink" Target="https://cms.patrika.com/blog/location/chandauli-news/feed/" TargetMode="External"/><Relationship Id="rId116" Type="http://schemas.openxmlformats.org/officeDocument/2006/relationships/hyperlink" Target="https://cms.patrika.com/blog/location/chitrakoot-news/feed/" TargetMode="External"/><Relationship Id="rId237" Type="http://schemas.openxmlformats.org/officeDocument/2006/relationships/hyperlink" Target="https://cms.patrika.com/blog/location/shamli-news/feed/" TargetMode="External"/><Relationship Id="rId115" Type="http://schemas.openxmlformats.org/officeDocument/2006/relationships/hyperlink" Target="https://www.patrika.com/lucknow-news" TargetMode="External"/><Relationship Id="rId236" Type="http://schemas.openxmlformats.org/officeDocument/2006/relationships/hyperlink" Target="https://cms.patrika.com/blog/location/shamli-news/feed/" TargetMode="External"/><Relationship Id="rId119" Type="http://schemas.openxmlformats.org/officeDocument/2006/relationships/hyperlink" Target="https://www.patrika.com/sitapur-news" TargetMode="External"/><Relationship Id="rId110" Type="http://schemas.openxmlformats.org/officeDocument/2006/relationships/hyperlink" Target="https://cms.patrika.com/blog/location/banda-news/feed/" TargetMode="External"/><Relationship Id="rId231" Type="http://schemas.openxmlformats.org/officeDocument/2006/relationships/hyperlink" Target="https://cms.patrika.com/blog/location/sambhal-news/feed/" TargetMode="External"/><Relationship Id="rId230" Type="http://schemas.openxmlformats.org/officeDocument/2006/relationships/hyperlink" Target="https://cms.patrika.com/blog/location/sambhal-news/feed/" TargetMode="External"/><Relationship Id="rId114" Type="http://schemas.openxmlformats.org/officeDocument/2006/relationships/hyperlink" Target="https://cms.patrika.com/blog/location/chitrakoot-news/feed/" TargetMode="External"/><Relationship Id="rId235" Type="http://schemas.openxmlformats.org/officeDocument/2006/relationships/hyperlink" Target="https://cms.patrika.com/blog/location/saharanpur-news/feed/" TargetMode="External"/><Relationship Id="rId113" Type="http://schemas.openxmlformats.org/officeDocument/2006/relationships/hyperlink" Target="https://www.patrika.com/lakhimpur-kheri-news" TargetMode="External"/><Relationship Id="rId234" Type="http://schemas.openxmlformats.org/officeDocument/2006/relationships/hyperlink" Target="https://cms.patrika.com/blog/location/saharanpur-news/feed/" TargetMode="External"/><Relationship Id="rId112" Type="http://schemas.openxmlformats.org/officeDocument/2006/relationships/hyperlink" Target="https://cms.patrika.com/blog/location/banda-news/feed/" TargetMode="External"/><Relationship Id="rId233" Type="http://schemas.openxmlformats.org/officeDocument/2006/relationships/hyperlink" Target="https://cms.patrika.com/blog/location/muzaffarnagar-news/feed/" TargetMode="External"/><Relationship Id="rId111" Type="http://schemas.openxmlformats.org/officeDocument/2006/relationships/hyperlink" Target="https://www.patrika.com/hardoi-news" TargetMode="External"/><Relationship Id="rId232" Type="http://schemas.openxmlformats.org/officeDocument/2006/relationships/hyperlink" Target="https://cms.patrika.com/blog/location/muzaffarnagar-news/feed/" TargetMode="External"/><Relationship Id="rId206" Type="http://schemas.openxmlformats.org/officeDocument/2006/relationships/hyperlink" Target="https://cms.patrika.com/blog/location/noida-news/feed/" TargetMode="External"/><Relationship Id="rId205" Type="http://schemas.openxmlformats.org/officeDocument/2006/relationships/hyperlink" Target="https://cms.patrika.com/blog/location/greater-noida-news/feed/" TargetMode="External"/><Relationship Id="rId204" Type="http://schemas.openxmlformats.org/officeDocument/2006/relationships/hyperlink" Target="https://cms.patrika.com/blog/location/greater-noida-news/feed/" TargetMode="External"/><Relationship Id="rId203" Type="http://schemas.openxmlformats.org/officeDocument/2006/relationships/hyperlink" Target="https://cms.patrika.com/blog/location/bulandshahr-news/feed/" TargetMode="External"/><Relationship Id="rId209" Type="http://schemas.openxmlformats.org/officeDocument/2006/relationships/hyperlink" Target="https://cms.patrika.com/blog/location/ghaziabad-news/feed/" TargetMode="External"/><Relationship Id="rId208" Type="http://schemas.openxmlformats.org/officeDocument/2006/relationships/hyperlink" Target="https://cms.patrika.com/blog/location/ghaziabad-news/feed/" TargetMode="External"/><Relationship Id="rId207" Type="http://schemas.openxmlformats.org/officeDocument/2006/relationships/hyperlink" Target="https://cms.patrika.com/blog/location/noida-news/feed/" TargetMode="External"/><Relationship Id="rId202" Type="http://schemas.openxmlformats.org/officeDocument/2006/relationships/hyperlink" Target="https://cms.patrika.com/blog/location/bulandshahr-news/feed/" TargetMode="External"/><Relationship Id="rId201" Type="http://schemas.openxmlformats.org/officeDocument/2006/relationships/hyperlink" Target="https://cms.patrika.com/blog/location/bagpat-news/feed/" TargetMode="External"/><Relationship Id="rId200" Type="http://schemas.openxmlformats.org/officeDocument/2006/relationships/hyperlink" Target="https://cms.patrika.com/blog/location/bagpat-news/feed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5.5"/>
    <col customWidth="1" min="3" max="3" width="52.88"/>
    <col customWidth="1" min="4" max="4" width="13.63"/>
    <col customWidth="1" min="5" max="6" width="17.5"/>
    <col customWidth="1" min="8" max="8" width="18.0"/>
    <col customWidth="1" min="9" max="9" width="16.13"/>
    <col customWidth="1" min="12" max="12" width="16.5"/>
    <col customWidth="1" min="13" max="13" width="50.25"/>
  </cols>
  <sheetData>
    <row r="1">
      <c r="A1" s="3" t="s">
        <v>1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17</v>
      </c>
    </row>
    <row r="2">
      <c r="A2" s="6"/>
      <c r="B2" s="6"/>
      <c r="C2" s="6"/>
      <c r="D2" s="2" t="s">
        <v>19</v>
      </c>
      <c r="E2" s="2" t="s">
        <v>20</v>
      </c>
      <c r="F2" s="2"/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</row>
    <row r="3">
      <c r="A3" s="6"/>
      <c r="B3" s="6"/>
      <c r="C3" s="6"/>
      <c r="D3" s="2" t="s">
        <v>28</v>
      </c>
      <c r="E3" s="2" t="s">
        <v>29</v>
      </c>
      <c r="F3" s="2"/>
      <c r="G3" s="2" t="s">
        <v>30</v>
      </c>
      <c r="H3" s="6"/>
      <c r="I3" s="6"/>
      <c r="J3" s="6"/>
      <c r="K3" s="6"/>
      <c r="L3" s="6"/>
      <c r="M3" s="6"/>
    </row>
    <row r="4">
      <c r="A4" s="6"/>
      <c r="B4" s="6"/>
      <c r="C4" s="6"/>
      <c r="D4" s="2" t="s">
        <v>31</v>
      </c>
      <c r="E4" s="2" t="s">
        <v>32</v>
      </c>
      <c r="F4" s="2"/>
      <c r="G4" s="2" t="s">
        <v>33</v>
      </c>
      <c r="H4" s="6"/>
      <c r="I4" s="6"/>
      <c r="J4" s="6"/>
      <c r="K4" s="6"/>
      <c r="L4" s="6"/>
      <c r="M4" s="6"/>
    </row>
    <row r="5">
      <c r="A5" s="6"/>
      <c r="B5" s="6"/>
      <c r="C5" s="6"/>
      <c r="D5" s="2" t="s">
        <v>34</v>
      </c>
      <c r="E5" s="6"/>
      <c r="F5" s="6"/>
      <c r="G5" s="2" t="s">
        <v>35</v>
      </c>
      <c r="H5" s="6"/>
      <c r="I5" s="6"/>
      <c r="J5" s="6"/>
      <c r="K5" s="6"/>
      <c r="L5" s="6"/>
      <c r="M5" s="6"/>
    </row>
    <row r="6">
      <c r="A6" s="2" t="s">
        <v>2</v>
      </c>
      <c r="B6" s="2" t="s">
        <v>3</v>
      </c>
      <c r="C6" s="8" t="s">
        <v>4</v>
      </c>
      <c r="D6" s="2" t="s">
        <v>28</v>
      </c>
      <c r="E6" s="2" t="s">
        <v>0</v>
      </c>
      <c r="F6" s="2" t="s">
        <v>39</v>
      </c>
      <c r="G6" s="2" t="s">
        <v>21</v>
      </c>
      <c r="H6" s="2" t="s">
        <v>42</v>
      </c>
      <c r="I6" s="2" t="s">
        <v>43</v>
      </c>
      <c r="J6" s="2" t="s">
        <v>45</v>
      </c>
      <c r="K6" s="2" t="s">
        <v>46</v>
      </c>
      <c r="L6" s="2" t="s">
        <v>47</v>
      </c>
      <c r="M6" s="8" t="s">
        <v>48</v>
      </c>
    </row>
    <row r="7">
      <c r="A7" s="2" t="s">
        <v>2</v>
      </c>
      <c r="B7" s="2" t="s">
        <v>60</v>
      </c>
      <c r="C7" s="19" t="s">
        <v>61</v>
      </c>
      <c r="D7" s="2" t="s">
        <v>31</v>
      </c>
      <c r="E7" s="2" t="s">
        <v>66</v>
      </c>
      <c r="F7" s="2" t="s">
        <v>39</v>
      </c>
      <c r="G7" s="2" t="s">
        <v>21</v>
      </c>
      <c r="H7" s="2" t="s">
        <v>42</v>
      </c>
      <c r="I7" s="2" t="s">
        <v>43</v>
      </c>
      <c r="J7" s="2" t="s">
        <v>45</v>
      </c>
      <c r="K7" s="2" t="s">
        <v>46</v>
      </c>
      <c r="L7" s="2" t="s">
        <v>47</v>
      </c>
      <c r="M7" s="8" t="s">
        <v>68</v>
      </c>
    </row>
    <row r="8">
      <c r="A8" s="2" t="s">
        <v>2</v>
      </c>
      <c r="B8" s="2" t="s">
        <v>71</v>
      </c>
      <c r="C8" s="19" t="s">
        <v>73</v>
      </c>
      <c r="D8" s="2" t="s">
        <v>31</v>
      </c>
      <c r="E8" s="2" t="s">
        <v>75</v>
      </c>
      <c r="F8" s="2" t="s">
        <v>39</v>
      </c>
      <c r="G8" s="2" t="s">
        <v>21</v>
      </c>
      <c r="H8" s="2" t="s">
        <v>42</v>
      </c>
      <c r="I8" s="2" t="s">
        <v>43</v>
      </c>
      <c r="J8" s="2" t="s">
        <v>45</v>
      </c>
      <c r="K8" s="2" t="s">
        <v>46</v>
      </c>
      <c r="L8" s="2" t="s">
        <v>47</v>
      </c>
      <c r="M8" s="8" t="s">
        <v>76</v>
      </c>
    </row>
    <row r="9">
      <c r="A9" s="2" t="s">
        <v>2</v>
      </c>
      <c r="B9" s="2" t="s">
        <v>81</v>
      </c>
      <c r="C9" s="19" t="s">
        <v>82</v>
      </c>
      <c r="D9" s="2" t="s">
        <v>31</v>
      </c>
      <c r="E9" s="6" t="s">
        <v>84</v>
      </c>
      <c r="F9" s="2" t="s">
        <v>39</v>
      </c>
      <c r="G9" s="2" t="s">
        <v>21</v>
      </c>
      <c r="H9" s="2" t="s">
        <v>42</v>
      </c>
      <c r="I9" s="2" t="s">
        <v>43</v>
      </c>
      <c r="J9" s="2" t="s">
        <v>45</v>
      </c>
      <c r="K9" s="2" t="s">
        <v>46</v>
      </c>
      <c r="L9" s="2" t="s">
        <v>47</v>
      </c>
      <c r="M9" s="8" t="s">
        <v>85</v>
      </c>
    </row>
    <row r="10">
      <c r="A10" s="2" t="s">
        <v>2</v>
      </c>
      <c r="B10" s="2" t="s">
        <v>89</v>
      </c>
      <c r="C10" s="8" t="s">
        <v>90</v>
      </c>
      <c r="D10" s="2" t="s">
        <v>31</v>
      </c>
      <c r="E10" s="6" t="s">
        <v>92</v>
      </c>
      <c r="F10" s="2" t="s">
        <v>39</v>
      </c>
      <c r="G10" s="2" t="s">
        <v>21</v>
      </c>
      <c r="H10" s="2" t="s">
        <v>42</v>
      </c>
      <c r="I10" s="2" t="s">
        <v>43</v>
      </c>
      <c r="J10" s="2" t="s">
        <v>45</v>
      </c>
      <c r="K10" s="2" t="s">
        <v>46</v>
      </c>
      <c r="L10" s="2" t="s">
        <v>47</v>
      </c>
      <c r="M10" s="8" t="s">
        <v>94</v>
      </c>
    </row>
    <row r="11">
      <c r="A11" s="2" t="s">
        <v>2</v>
      </c>
      <c r="B11" s="2" t="s">
        <v>99</v>
      </c>
      <c r="C11" s="19" t="s">
        <v>100</v>
      </c>
      <c r="D11" s="2" t="s">
        <v>31</v>
      </c>
      <c r="E11" s="6" t="s">
        <v>104</v>
      </c>
      <c r="F11" s="2" t="s">
        <v>39</v>
      </c>
      <c r="G11" s="2" t="s">
        <v>21</v>
      </c>
      <c r="H11" s="2" t="s">
        <v>42</v>
      </c>
      <c r="I11" s="2" t="s">
        <v>43</v>
      </c>
      <c r="J11" s="2" t="s">
        <v>45</v>
      </c>
      <c r="K11" s="2" t="s">
        <v>46</v>
      </c>
      <c r="L11" s="2" t="s">
        <v>47</v>
      </c>
      <c r="M11" s="8" t="s">
        <v>106</v>
      </c>
    </row>
    <row r="12">
      <c r="A12" s="2" t="s">
        <v>2</v>
      </c>
      <c r="B12" s="2" t="s">
        <v>110</v>
      </c>
      <c r="C12" s="19" t="s">
        <v>111</v>
      </c>
      <c r="D12" s="2" t="s">
        <v>31</v>
      </c>
      <c r="E12" s="6" t="s">
        <v>113</v>
      </c>
      <c r="F12" s="2" t="s">
        <v>39</v>
      </c>
      <c r="G12" s="2" t="s">
        <v>21</v>
      </c>
      <c r="H12" s="2" t="s">
        <v>42</v>
      </c>
      <c r="I12" s="2" t="s">
        <v>43</v>
      </c>
      <c r="J12" s="2" t="s">
        <v>45</v>
      </c>
      <c r="K12" s="2" t="s">
        <v>46</v>
      </c>
      <c r="L12" s="2" t="s">
        <v>47</v>
      </c>
      <c r="M12" s="8" t="s">
        <v>114</v>
      </c>
    </row>
    <row r="13">
      <c r="A13" s="2" t="s">
        <v>2</v>
      </c>
      <c r="B13" s="2" t="s">
        <v>116</v>
      </c>
      <c r="C13" s="19" t="s">
        <v>118</v>
      </c>
      <c r="D13" s="2" t="s">
        <v>31</v>
      </c>
      <c r="E13" s="6" t="s">
        <v>78</v>
      </c>
      <c r="F13" s="2" t="s">
        <v>39</v>
      </c>
      <c r="G13" s="2" t="s">
        <v>21</v>
      </c>
      <c r="H13" s="2" t="s">
        <v>42</v>
      </c>
      <c r="I13" s="2" t="s">
        <v>43</v>
      </c>
      <c r="J13" s="2" t="s">
        <v>45</v>
      </c>
      <c r="K13" s="2" t="s">
        <v>46</v>
      </c>
      <c r="L13" s="2" t="s">
        <v>47</v>
      </c>
      <c r="M13" s="8" t="s">
        <v>122</v>
      </c>
    </row>
    <row r="14">
      <c r="A14" s="2" t="s">
        <v>2</v>
      </c>
      <c r="B14" s="2" t="s">
        <v>128</v>
      </c>
      <c r="C14" s="19" t="s">
        <v>129</v>
      </c>
      <c r="D14" s="2" t="s">
        <v>31</v>
      </c>
      <c r="E14" s="6" t="s">
        <v>49</v>
      </c>
      <c r="F14" s="2" t="s">
        <v>39</v>
      </c>
      <c r="G14" s="2" t="s">
        <v>21</v>
      </c>
      <c r="H14" s="2" t="s">
        <v>42</v>
      </c>
      <c r="I14" s="2" t="s">
        <v>43</v>
      </c>
      <c r="J14" s="2" t="s">
        <v>45</v>
      </c>
      <c r="K14" s="2" t="s">
        <v>46</v>
      </c>
      <c r="L14" s="2" t="s">
        <v>47</v>
      </c>
      <c r="M14" s="8" t="s">
        <v>134</v>
      </c>
    </row>
    <row r="15">
      <c r="A15" s="2" t="s">
        <v>2</v>
      </c>
      <c r="B15" s="2" t="s">
        <v>139</v>
      </c>
      <c r="C15" s="19" t="s">
        <v>140</v>
      </c>
      <c r="D15" s="2" t="s">
        <v>31</v>
      </c>
      <c r="E15" s="6" t="s">
        <v>142</v>
      </c>
      <c r="F15" s="2" t="s">
        <v>39</v>
      </c>
      <c r="G15" s="2" t="s">
        <v>21</v>
      </c>
      <c r="H15" s="2" t="s">
        <v>42</v>
      </c>
      <c r="I15" s="2" t="s">
        <v>43</v>
      </c>
      <c r="J15" s="2" t="s">
        <v>45</v>
      </c>
      <c r="K15" s="2" t="s">
        <v>46</v>
      </c>
      <c r="L15" s="2" t="s">
        <v>47</v>
      </c>
      <c r="M15" s="8" t="s">
        <v>145</v>
      </c>
    </row>
    <row r="16">
      <c r="A16" s="2" t="s">
        <v>2</v>
      </c>
      <c r="B16" s="2" t="s">
        <v>149</v>
      </c>
      <c r="C16" s="19" t="s">
        <v>151</v>
      </c>
      <c r="D16" s="2" t="s">
        <v>31</v>
      </c>
      <c r="E16" s="6" t="s">
        <v>95</v>
      </c>
      <c r="F16" s="2" t="s">
        <v>39</v>
      </c>
      <c r="G16" s="2" t="s">
        <v>21</v>
      </c>
      <c r="H16" s="2" t="s">
        <v>42</v>
      </c>
      <c r="I16" s="2" t="s">
        <v>43</v>
      </c>
      <c r="J16" s="2" t="s">
        <v>45</v>
      </c>
      <c r="K16" s="2" t="s">
        <v>46</v>
      </c>
      <c r="L16" s="2" t="s">
        <v>47</v>
      </c>
      <c r="M16" s="8" t="s">
        <v>154</v>
      </c>
    </row>
    <row r="17">
      <c r="A17" s="2" t="s">
        <v>2</v>
      </c>
      <c r="B17" s="2" t="s">
        <v>157</v>
      </c>
      <c r="C17" s="19" t="s">
        <v>159</v>
      </c>
      <c r="D17" s="2" t="s">
        <v>31</v>
      </c>
      <c r="E17" s="6" t="s">
        <v>161</v>
      </c>
      <c r="F17" s="2" t="s">
        <v>39</v>
      </c>
      <c r="G17" s="2" t="s">
        <v>21</v>
      </c>
      <c r="H17" s="2" t="s">
        <v>42</v>
      </c>
      <c r="I17" s="2" t="s">
        <v>43</v>
      </c>
      <c r="J17" s="2" t="s">
        <v>45</v>
      </c>
      <c r="K17" s="2" t="s">
        <v>46</v>
      </c>
      <c r="L17" s="2" t="s">
        <v>47</v>
      </c>
      <c r="M17" s="8" t="s">
        <v>163</v>
      </c>
    </row>
    <row r="18">
      <c r="A18" s="2" t="s">
        <v>2</v>
      </c>
      <c r="B18" s="2" t="s">
        <v>167</v>
      </c>
      <c r="C18" s="19" t="s">
        <v>168</v>
      </c>
      <c r="D18" s="2" t="s">
        <v>31</v>
      </c>
      <c r="E18" s="6" t="s">
        <v>86</v>
      </c>
      <c r="F18" s="2" t="s">
        <v>39</v>
      </c>
      <c r="G18" s="2" t="s">
        <v>21</v>
      </c>
      <c r="H18" s="2" t="s">
        <v>42</v>
      </c>
      <c r="I18" s="2" t="s">
        <v>43</v>
      </c>
      <c r="J18" s="2" t="s">
        <v>45</v>
      </c>
      <c r="K18" s="2" t="s">
        <v>46</v>
      </c>
      <c r="L18" s="2" t="s">
        <v>47</v>
      </c>
      <c r="M18" s="8" t="s">
        <v>173</v>
      </c>
    </row>
    <row r="19">
      <c r="A19" s="2" t="s">
        <v>2</v>
      </c>
      <c r="B19" s="2" t="s">
        <v>175</v>
      </c>
      <c r="C19" s="19" t="s">
        <v>177</v>
      </c>
      <c r="D19" s="2" t="s">
        <v>31</v>
      </c>
      <c r="E19" s="6" t="s">
        <v>181</v>
      </c>
      <c r="F19" s="2" t="s">
        <v>39</v>
      </c>
      <c r="G19" s="2" t="s">
        <v>21</v>
      </c>
      <c r="H19" s="2" t="s">
        <v>42</v>
      </c>
      <c r="I19" s="2" t="s">
        <v>43</v>
      </c>
      <c r="J19" s="2" t="s">
        <v>45</v>
      </c>
      <c r="K19" s="2" t="s">
        <v>46</v>
      </c>
      <c r="L19" s="2" t="s">
        <v>47</v>
      </c>
      <c r="M19" s="8" t="s">
        <v>183</v>
      </c>
    </row>
    <row r="20">
      <c r="A20" s="2" t="s">
        <v>2</v>
      </c>
      <c r="B20" s="2" t="s">
        <v>186</v>
      </c>
      <c r="C20" s="19" t="s">
        <v>188</v>
      </c>
      <c r="D20" s="2" t="s">
        <v>31</v>
      </c>
      <c r="E20" s="6" t="s">
        <v>190</v>
      </c>
      <c r="F20" s="2" t="s">
        <v>39</v>
      </c>
      <c r="G20" s="2" t="s">
        <v>21</v>
      </c>
      <c r="H20" s="2" t="s">
        <v>42</v>
      </c>
      <c r="I20" s="2" t="s">
        <v>43</v>
      </c>
      <c r="J20" s="2" t="s">
        <v>45</v>
      </c>
      <c r="K20" s="2" t="s">
        <v>46</v>
      </c>
      <c r="L20" s="2" t="s">
        <v>47</v>
      </c>
      <c r="M20" s="8" t="s">
        <v>192</v>
      </c>
    </row>
    <row r="21">
      <c r="A21" s="2" t="s">
        <v>2</v>
      </c>
      <c r="B21" s="2" t="s">
        <v>196</v>
      </c>
      <c r="C21" s="19" t="s">
        <v>197</v>
      </c>
      <c r="D21" s="2" t="s">
        <v>31</v>
      </c>
      <c r="E21" s="6" t="s">
        <v>199</v>
      </c>
      <c r="F21" s="2" t="s">
        <v>39</v>
      </c>
      <c r="G21" s="2" t="s">
        <v>21</v>
      </c>
      <c r="H21" s="2" t="s">
        <v>42</v>
      </c>
      <c r="I21" s="2" t="s">
        <v>43</v>
      </c>
      <c r="J21" s="2" t="s">
        <v>45</v>
      </c>
      <c r="K21" s="2" t="s">
        <v>46</v>
      </c>
      <c r="L21" s="2" t="s">
        <v>47</v>
      </c>
      <c r="M21" s="8" t="s">
        <v>203</v>
      </c>
    </row>
    <row r="22">
      <c r="A22" s="2" t="s">
        <v>2</v>
      </c>
      <c r="B22" s="2" t="s">
        <v>205</v>
      </c>
      <c r="C22" s="19" t="s">
        <v>206</v>
      </c>
      <c r="D22" s="2" t="s">
        <v>31</v>
      </c>
      <c r="E22" s="6" t="s">
        <v>210</v>
      </c>
      <c r="F22" s="2" t="s">
        <v>39</v>
      </c>
      <c r="G22" s="2" t="s">
        <v>21</v>
      </c>
      <c r="H22" s="2" t="s">
        <v>42</v>
      </c>
      <c r="I22" s="2" t="s">
        <v>43</v>
      </c>
      <c r="J22" s="2" t="s">
        <v>45</v>
      </c>
      <c r="K22" s="2" t="s">
        <v>46</v>
      </c>
      <c r="L22" s="2" t="s">
        <v>47</v>
      </c>
      <c r="M22" s="8" t="s">
        <v>212</v>
      </c>
    </row>
    <row r="23">
      <c r="A23" s="2" t="s">
        <v>2</v>
      </c>
      <c r="B23" s="2" t="s">
        <v>215</v>
      </c>
      <c r="C23" s="19" t="s">
        <v>216</v>
      </c>
      <c r="D23" s="2" t="s">
        <v>31</v>
      </c>
      <c r="E23" s="6" t="s">
        <v>117</v>
      </c>
      <c r="F23" s="2" t="s">
        <v>39</v>
      </c>
      <c r="G23" s="2" t="s">
        <v>21</v>
      </c>
      <c r="H23" s="2" t="s">
        <v>42</v>
      </c>
      <c r="I23" s="2" t="s">
        <v>43</v>
      </c>
      <c r="J23" s="2" t="s">
        <v>45</v>
      </c>
      <c r="K23" s="2" t="s">
        <v>46</v>
      </c>
      <c r="L23" s="2" t="s">
        <v>47</v>
      </c>
      <c r="M23" s="8" t="s">
        <v>221</v>
      </c>
    </row>
    <row r="24">
      <c r="A24" s="2" t="s">
        <v>2</v>
      </c>
      <c r="B24" s="2" t="s">
        <v>225</v>
      </c>
      <c r="C24" s="19" t="s">
        <v>226</v>
      </c>
      <c r="D24" s="2" t="s">
        <v>31</v>
      </c>
      <c r="E24" s="6" t="s">
        <v>231</v>
      </c>
      <c r="F24" s="2" t="s">
        <v>39</v>
      </c>
      <c r="G24" s="2" t="s">
        <v>21</v>
      </c>
      <c r="H24" s="2" t="s">
        <v>42</v>
      </c>
      <c r="I24" s="2" t="s">
        <v>43</v>
      </c>
      <c r="J24" s="2" t="s">
        <v>45</v>
      </c>
      <c r="K24" s="2" t="s">
        <v>46</v>
      </c>
      <c r="L24" s="2" t="s">
        <v>47</v>
      </c>
      <c r="M24" s="8" t="s">
        <v>232</v>
      </c>
    </row>
    <row r="25">
      <c r="A25" s="2" t="s">
        <v>2</v>
      </c>
      <c r="B25" s="2" t="s">
        <v>236</v>
      </c>
      <c r="C25" s="19" t="s">
        <v>237</v>
      </c>
      <c r="D25" s="2" t="s">
        <v>31</v>
      </c>
      <c r="E25" s="6" t="s">
        <v>238</v>
      </c>
      <c r="F25" s="2" t="s">
        <v>39</v>
      </c>
      <c r="G25" s="2" t="s">
        <v>21</v>
      </c>
      <c r="H25" s="2" t="s">
        <v>42</v>
      </c>
      <c r="I25" s="2" t="s">
        <v>43</v>
      </c>
      <c r="J25" s="2" t="s">
        <v>45</v>
      </c>
      <c r="K25" s="2" t="s">
        <v>46</v>
      </c>
      <c r="L25" s="2" t="s">
        <v>47</v>
      </c>
      <c r="M25" s="8" t="s">
        <v>241</v>
      </c>
    </row>
    <row r="26">
      <c r="A26" s="2" t="s">
        <v>2</v>
      </c>
      <c r="B26" s="2" t="s">
        <v>244</v>
      </c>
      <c r="C26" s="19" t="s">
        <v>245</v>
      </c>
      <c r="D26" s="2" t="s">
        <v>31</v>
      </c>
      <c r="E26" s="6" t="s">
        <v>248</v>
      </c>
      <c r="F26" s="2" t="s">
        <v>39</v>
      </c>
      <c r="G26" s="2" t="s">
        <v>21</v>
      </c>
      <c r="H26" s="2" t="s">
        <v>42</v>
      </c>
      <c r="I26" s="2" t="s">
        <v>43</v>
      </c>
      <c r="J26" s="2" t="s">
        <v>45</v>
      </c>
      <c r="K26" s="2" t="s">
        <v>46</v>
      </c>
      <c r="L26" s="2" t="s">
        <v>47</v>
      </c>
      <c r="M26" s="8" t="s">
        <v>249</v>
      </c>
    </row>
    <row r="27">
      <c r="A27" s="2" t="s">
        <v>2</v>
      </c>
      <c r="B27" s="2" t="s">
        <v>254</v>
      </c>
      <c r="C27" s="19" t="s">
        <v>255</v>
      </c>
      <c r="D27" s="2" t="s">
        <v>31</v>
      </c>
      <c r="E27" s="6" t="s">
        <v>258</v>
      </c>
      <c r="F27" s="2" t="s">
        <v>39</v>
      </c>
      <c r="G27" s="2" t="s">
        <v>21</v>
      </c>
      <c r="H27" s="2" t="s">
        <v>42</v>
      </c>
      <c r="I27" s="2" t="s">
        <v>43</v>
      </c>
      <c r="J27" s="2" t="s">
        <v>45</v>
      </c>
      <c r="K27" s="2" t="s">
        <v>46</v>
      </c>
      <c r="L27" s="2" t="s">
        <v>47</v>
      </c>
      <c r="M27" s="8" t="s">
        <v>259</v>
      </c>
    </row>
    <row r="28">
      <c r="A28" s="2" t="s">
        <v>2</v>
      </c>
      <c r="B28" s="2" t="s">
        <v>263</v>
      </c>
      <c r="C28" s="19" t="s">
        <v>264</v>
      </c>
      <c r="D28" s="2" t="s">
        <v>31</v>
      </c>
      <c r="E28" s="6" t="s">
        <v>218</v>
      </c>
      <c r="F28" s="2" t="s">
        <v>39</v>
      </c>
      <c r="G28" s="2" t="s">
        <v>21</v>
      </c>
      <c r="H28" s="2" t="s">
        <v>42</v>
      </c>
      <c r="I28" s="2" t="s">
        <v>43</v>
      </c>
      <c r="J28" s="2" t="s">
        <v>45</v>
      </c>
      <c r="K28" s="2" t="s">
        <v>46</v>
      </c>
      <c r="L28" s="2" t="s">
        <v>47</v>
      </c>
      <c r="M28" s="8" t="s">
        <v>268</v>
      </c>
    </row>
    <row r="29">
      <c r="A29" s="2" t="s">
        <v>2</v>
      </c>
      <c r="B29" s="2" t="s">
        <v>273</v>
      </c>
      <c r="C29" s="19" t="s">
        <v>274</v>
      </c>
      <c r="D29" s="2" t="s">
        <v>31</v>
      </c>
      <c r="E29" s="6" t="s">
        <v>278</v>
      </c>
      <c r="F29" s="2" t="s">
        <v>39</v>
      </c>
      <c r="G29" s="2" t="s">
        <v>21</v>
      </c>
      <c r="H29" s="2" t="s">
        <v>42</v>
      </c>
      <c r="I29" s="2" t="s">
        <v>43</v>
      </c>
      <c r="J29" s="2" t="s">
        <v>45</v>
      </c>
      <c r="K29" s="2" t="s">
        <v>46</v>
      </c>
      <c r="L29" s="2" t="s">
        <v>47</v>
      </c>
      <c r="M29" s="8" t="s">
        <v>282</v>
      </c>
    </row>
    <row r="30">
      <c r="A30" s="2" t="s">
        <v>2</v>
      </c>
      <c r="B30" s="2" t="s">
        <v>286</v>
      </c>
      <c r="C30" s="19" t="s">
        <v>287</v>
      </c>
      <c r="D30" s="2" t="s">
        <v>31</v>
      </c>
      <c r="E30" s="6" t="s">
        <v>291</v>
      </c>
      <c r="F30" s="2" t="s">
        <v>39</v>
      </c>
      <c r="G30" s="2" t="s">
        <v>21</v>
      </c>
      <c r="H30" s="2" t="s">
        <v>42</v>
      </c>
      <c r="I30" s="2" t="s">
        <v>43</v>
      </c>
      <c r="J30" s="2" t="s">
        <v>45</v>
      </c>
      <c r="K30" s="2" t="s">
        <v>46</v>
      </c>
      <c r="L30" s="2" t="s">
        <v>47</v>
      </c>
      <c r="M30" s="8" t="s">
        <v>293</v>
      </c>
    </row>
    <row r="31">
      <c r="A31" s="2" t="s">
        <v>2</v>
      </c>
      <c r="B31" s="2" t="s">
        <v>298</v>
      </c>
      <c r="C31" s="19" t="s">
        <v>299</v>
      </c>
      <c r="D31" s="2" t="s">
        <v>31</v>
      </c>
      <c r="E31" s="6" t="s">
        <v>301</v>
      </c>
      <c r="F31" s="2" t="s">
        <v>39</v>
      </c>
      <c r="G31" s="2" t="s">
        <v>21</v>
      </c>
      <c r="H31" s="2" t="s">
        <v>42</v>
      </c>
      <c r="I31" s="2" t="s">
        <v>43</v>
      </c>
      <c r="J31" s="2" t="s">
        <v>45</v>
      </c>
      <c r="K31" s="2" t="s">
        <v>46</v>
      </c>
      <c r="L31" s="2" t="s">
        <v>47</v>
      </c>
      <c r="M31" s="8" t="s">
        <v>304</v>
      </c>
    </row>
    <row r="32">
      <c r="A32" s="2" t="s">
        <v>2</v>
      </c>
      <c r="B32" s="2" t="s">
        <v>306</v>
      </c>
      <c r="C32" s="19" t="s">
        <v>307</v>
      </c>
      <c r="D32" s="2" t="s">
        <v>31</v>
      </c>
      <c r="E32" s="6" t="s">
        <v>283</v>
      </c>
      <c r="F32" s="2" t="s">
        <v>39</v>
      </c>
      <c r="G32" s="2" t="s">
        <v>21</v>
      </c>
      <c r="H32" s="2" t="s">
        <v>42</v>
      </c>
      <c r="I32" s="2" t="s">
        <v>43</v>
      </c>
      <c r="J32" s="2" t="s">
        <v>45</v>
      </c>
      <c r="K32" s="2" t="s">
        <v>46</v>
      </c>
      <c r="L32" s="2" t="s">
        <v>47</v>
      </c>
      <c r="M32" s="8" t="s">
        <v>310</v>
      </c>
    </row>
    <row r="33">
      <c r="A33" s="2" t="s">
        <v>2</v>
      </c>
      <c r="B33" s="2" t="s">
        <v>314</v>
      </c>
      <c r="C33" s="19" t="s">
        <v>315</v>
      </c>
      <c r="D33" s="2" t="s">
        <v>31</v>
      </c>
      <c r="E33" s="6" t="s">
        <v>178</v>
      </c>
      <c r="F33" s="2" t="s">
        <v>39</v>
      </c>
      <c r="G33" s="2" t="s">
        <v>21</v>
      </c>
      <c r="H33" s="2" t="s">
        <v>42</v>
      </c>
      <c r="I33" s="2" t="s">
        <v>43</v>
      </c>
      <c r="J33" s="2" t="s">
        <v>45</v>
      </c>
      <c r="K33" s="2" t="s">
        <v>46</v>
      </c>
      <c r="L33" s="2" t="s">
        <v>47</v>
      </c>
      <c r="M33" s="8" t="s">
        <v>317</v>
      </c>
    </row>
    <row r="34">
      <c r="A34" s="2" t="s">
        <v>2</v>
      </c>
      <c r="B34" s="2" t="s">
        <v>320</v>
      </c>
      <c r="C34" s="19" t="s">
        <v>321</v>
      </c>
      <c r="D34" s="2" t="s">
        <v>31</v>
      </c>
      <c r="E34" s="6" t="s">
        <v>136</v>
      </c>
      <c r="F34" s="2" t="s">
        <v>39</v>
      </c>
      <c r="G34" s="2" t="s">
        <v>21</v>
      </c>
      <c r="H34" s="2" t="s">
        <v>42</v>
      </c>
      <c r="I34" s="2" t="s">
        <v>43</v>
      </c>
      <c r="J34" s="2" t="s">
        <v>45</v>
      </c>
      <c r="K34" s="2" t="s">
        <v>46</v>
      </c>
      <c r="L34" s="2" t="s">
        <v>47</v>
      </c>
      <c r="M34" s="8" t="s">
        <v>325</v>
      </c>
    </row>
    <row r="35">
      <c r="A35" s="2" t="s">
        <v>2</v>
      </c>
      <c r="B35" s="2" t="s">
        <v>327</v>
      </c>
      <c r="C35" s="19" t="s">
        <v>328</v>
      </c>
      <c r="D35" s="2" t="s">
        <v>31</v>
      </c>
      <c r="E35" s="6" t="s">
        <v>331</v>
      </c>
      <c r="F35" s="2" t="s">
        <v>39</v>
      </c>
      <c r="G35" s="2" t="s">
        <v>21</v>
      </c>
      <c r="H35" s="2" t="s">
        <v>42</v>
      </c>
      <c r="I35" s="2" t="s">
        <v>43</v>
      </c>
      <c r="J35" s="2" t="s">
        <v>45</v>
      </c>
      <c r="K35" s="2" t="s">
        <v>46</v>
      </c>
      <c r="L35" s="2" t="s">
        <v>47</v>
      </c>
      <c r="M35" s="8" t="s">
        <v>333</v>
      </c>
    </row>
    <row r="36">
      <c r="A36" s="2" t="s">
        <v>2</v>
      </c>
      <c r="B36" s="2" t="s">
        <v>336</v>
      </c>
      <c r="C36" s="19" t="s">
        <v>337</v>
      </c>
      <c r="D36" s="2" t="s">
        <v>31</v>
      </c>
      <c r="E36" s="6" t="s">
        <v>130</v>
      </c>
      <c r="F36" s="2" t="s">
        <v>39</v>
      </c>
      <c r="G36" s="2" t="s">
        <v>21</v>
      </c>
      <c r="H36" s="2" t="s">
        <v>42</v>
      </c>
      <c r="I36" s="2" t="s">
        <v>43</v>
      </c>
      <c r="J36" s="2" t="s">
        <v>45</v>
      </c>
      <c r="K36" s="2" t="s">
        <v>46</v>
      </c>
      <c r="L36" s="2" t="s">
        <v>47</v>
      </c>
      <c r="M36" s="8" t="s">
        <v>344</v>
      </c>
    </row>
    <row r="37">
      <c r="A37" s="2" t="s">
        <v>2</v>
      </c>
      <c r="B37" s="2" t="s">
        <v>346</v>
      </c>
      <c r="C37" s="19" t="s">
        <v>347</v>
      </c>
      <c r="D37" s="2" t="s">
        <v>31</v>
      </c>
      <c r="E37" s="6" t="s">
        <v>322</v>
      </c>
      <c r="F37" s="2" t="s">
        <v>39</v>
      </c>
      <c r="G37" s="2" t="s">
        <v>21</v>
      </c>
      <c r="H37" s="2" t="s">
        <v>42</v>
      </c>
      <c r="I37" s="2" t="s">
        <v>43</v>
      </c>
      <c r="J37" s="2" t="s">
        <v>45</v>
      </c>
      <c r="K37" s="2" t="s">
        <v>46</v>
      </c>
      <c r="L37" s="2" t="s">
        <v>47</v>
      </c>
      <c r="M37" s="8" t="s">
        <v>350</v>
      </c>
    </row>
    <row r="38">
      <c r="A38" s="2" t="s">
        <v>2</v>
      </c>
      <c r="B38" s="2" t="s">
        <v>354</v>
      </c>
      <c r="C38" s="19" t="s">
        <v>355</v>
      </c>
      <c r="D38" s="2" t="s">
        <v>31</v>
      </c>
      <c r="E38" s="6" t="s">
        <v>56</v>
      </c>
      <c r="F38" s="2" t="s">
        <v>39</v>
      </c>
      <c r="G38" s="2" t="s">
        <v>21</v>
      </c>
      <c r="H38" s="2" t="s">
        <v>42</v>
      </c>
      <c r="I38" s="2" t="s">
        <v>43</v>
      </c>
      <c r="J38" s="2" t="s">
        <v>45</v>
      </c>
      <c r="K38" s="2" t="s">
        <v>46</v>
      </c>
      <c r="L38" s="2" t="s">
        <v>47</v>
      </c>
      <c r="M38" s="8" t="s">
        <v>360</v>
      </c>
    </row>
    <row r="39">
      <c r="A39" s="2" t="s">
        <v>2</v>
      </c>
      <c r="B39" s="2" t="s">
        <v>361</v>
      </c>
      <c r="C39" s="19" t="s">
        <v>363</v>
      </c>
      <c r="D39" s="2" t="s">
        <v>31</v>
      </c>
      <c r="E39" s="6" t="s">
        <v>170</v>
      </c>
      <c r="F39" s="2" t="s">
        <v>39</v>
      </c>
      <c r="G39" s="2" t="s">
        <v>21</v>
      </c>
      <c r="H39" s="2" t="s">
        <v>42</v>
      </c>
      <c r="I39" s="2" t="s">
        <v>43</v>
      </c>
      <c r="J39" s="2" t="s">
        <v>45</v>
      </c>
      <c r="K39" s="2" t="s">
        <v>46</v>
      </c>
      <c r="L39" s="2" t="s">
        <v>47</v>
      </c>
      <c r="M39" s="8" t="s">
        <v>366</v>
      </c>
    </row>
    <row r="40">
      <c r="A40" s="2" t="s">
        <v>2</v>
      </c>
      <c r="B40" s="2" t="s">
        <v>370</v>
      </c>
      <c r="C40" s="19" t="s">
        <v>371</v>
      </c>
      <c r="D40" s="2" t="s">
        <v>31</v>
      </c>
      <c r="E40" s="6" t="s">
        <v>164</v>
      </c>
      <c r="F40" s="2" t="s">
        <v>39</v>
      </c>
      <c r="G40" s="2" t="s">
        <v>21</v>
      </c>
      <c r="H40" s="2" t="s">
        <v>42</v>
      </c>
      <c r="I40" s="2" t="s">
        <v>43</v>
      </c>
      <c r="J40" s="2" t="s">
        <v>45</v>
      </c>
      <c r="K40" s="2" t="s">
        <v>46</v>
      </c>
      <c r="L40" s="2" t="s">
        <v>47</v>
      </c>
      <c r="M40" s="8" t="s">
        <v>375</v>
      </c>
    </row>
    <row r="41">
      <c r="A41" s="2" t="s">
        <v>2</v>
      </c>
      <c r="B41" s="2" t="s">
        <v>377</v>
      </c>
      <c r="C41" s="19" t="s">
        <v>378</v>
      </c>
      <c r="D41" s="2" t="s">
        <v>31</v>
      </c>
      <c r="E41" s="6" t="s">
        <v>240</v>
      </c>
      <c r="F41" s="2" t="s">
        <v>39</v>
      </c>
      <c r="G41" s="2" t="s">
        <v>21</v>
      </c>
      <c r="H41" s="2" t="s">
        <v>42</v>
      </c>
      <c r="I41" s="2" t="s">
        <v>43</v>
      </c>
      <c r="J41" s="2" t="s">
        <v>45</v>
      </c>
      <c r="K41" s="2" t="s">
        <v>46</v>
      </c>
      <c r="L41" s="2" t="s">
        <v>47</v>
      </c>
      <c r="M41" s="8" t="s">
        <v>382</v>
      </c>
    </row>
    <row r="42">
      <c r="A42" s="2" t="s">
        <v>2</v>
      </c>
      <c r="B42" s="2" t="s">
        <v>386</v>
      </c>
      <c r="C42" s="19" t="s">
        <v>387</v>
      </c>
      <c r="D42" s="2" t="s">
        <v>31</v>
      </c>
      <c r="E42" s="6" t="s">
        <v>148</v>
      </c>
      <c r="F42" s="2" t="s">
        <v>39</v>
      </c>
      <c r="G42" s="2" t="s">
        <v>21</v>
      </c>
      <c r="H42" s="2" t="s">
        <v>42</v>
      </c>
      <c r="I42" s="2" t="s">
        <v>43</v>
      </c>
      <c r="J42" s="2" t="s">
        <v>45</v>
      </c>
      <c r="K42" s="2" t="s">
        <v>46</v>
      </c>
      <c r="L42" s="2" t="s">
        <v>47</v>
      </c>
      <c r="M42" s="8" t="s">
        <v>389</v>
      </c>
    </row>
    <row r="43">
      <c r="A43" s="2" t="s">
        <v>2</v>
      </c>
      <c r="B43" s="2" t="s">
        <v>393</v>
      </c>
      <c r="C43" s="19" t="s">
        <v>394</v>
      </c>
      <c r="D43" s="2" t="s">
        <v>31</v>
      </c>
      <c r="E43" s="6" t="s">
        <v>193</v>
      </c>
      <c r="F43" s="2" t="s">
        <v>39</v>
      </c>
      <c r="G43" s="2" t="s">
        <v>21</v>
      </c>
      <c r="H43" s="2" t="s">
        <v>42</v>
      </c>
      <c r="I43" s="2" t="s">
        <v>43</v>
      </c>
      <c r="J43" s="2" t="s">
        <v>45</v>
      </c>
      <c r="K43" s="2" t="s">
        <v>46</v>
      </c>
      <c r="L43" s="2" t="s">
        <v>47</v>
      </c>
      <c r="M43" s="8" t="s">
        <v>397</v>
      </c>
    </row>
    <row r="44">
      <c r="A44" s="2" t="s">
        <v>2</v>
      </c>
      <c r="B44" s="2" t="s">
        <v>399</v>
      </c>
      <c r="C44" s="19" t="s">
        <v>400</v>
      </c>
      <c r="D44" s="2" t="s">
        <v>31</v>
      </c>
      <c r="E44" s="6" t="s">
        <v>233</v>
      </c>
      <c r="F44" s="2" t="s">
        <v>39</v>
      </c>
      <c r="G44" s="2" t="s">
        <v>21</v>
      </c>
      <c r="H44" s="2" t="s">
        <v>42</v>
      </c>
      <c r="I44" s="2" t="s">
        <v>43</v>
      </c>
      <c r="J44" s="2" t="s">
        <v>45</v>
      </c>
      <c r="K44" s="2" t="s">
        <v>46</v>
      </c>
      <c r="L44" s="2" t="s">
        <v>47</v>
      </c>
      <c r="M44" s="8" t="s">
        <v>404</v>
      </c>
    </row>
    <row r="45">
      <c r="A45" s="2" t="s">
        <v>2</v>
      </c>
      <c r="B45" s="2" t="s">
        <v>409</v>
      </c>
      <c r="C45" s="19" t="s">
        <v>410</v>
      </c>
      <c r="D45" s="2" t="s">
        <v>31</v>
      </c>
      <c r="E45" s="6" t="s">
        <v>211</v>
      </c>
      <c r="F45" s="2" t="s">
        <v>39</v>
      </c>
      <c r="G45" s="2" t="s">
        <v>21</v>
      </c>
      <c r="H45" s="2" t="s">
        <v>42</v>
      </c>
      <c r="I45" s="2" t="s">
        <v>43</v>
      </c>
      <c r="J45" s="2" t="s">
        <v>45</v>
      </c>
      <c r="K45" s="2" t="s">
        <v>46</v>
      </c>
      <c r="L45" s="2" t="s">
        <v>47</v>
      </c>
      <c r="M45" s="8" t="s">
        <v>414</v>
      </c>
    </row>
    <row r="46">
      <c r="A46" s="2" t="s">
        <v>2</v>
      </c>
      <c r="B46" s="2" t="s">
        <v>418</v>
      </c>
      <c r="C46" s="19" t="s">
        <v>419</v>
      </c>
      <c r="D46" s="2" t="s">
        <v>31</v>
      </c>
      <c r="E46" s="2" t="s">
        <v>421</v>
      </c>
      <c r="F46" s="2" t="s">
        <v>39</v>
      </c>
      <c r="G46" s="2" t="s">
        <v>21</v>
      </c>
      <c r="H46" s="2" t="s">
        <v>42</v>
      </c>
      <c r="I46" s="2" t="s">
        <v>43</v>
      </c>
      <c r="J46" s="2" t="s">
        <v>45</v>
      </c>
      <c r="K46" s="2" t="s">
        <v>46</v>
      </c>
      <c r="L46" s="2" t="s">
        <v>47</v>
      </c>
      <c r="M46" s="8" t="s">
        <v>425</v>
      </c>
    </row>
    <row r="47">
      <c r="A47" s="2" t="s">
        <v>2</v>
      </c>
      <c r="B47" s="2" t="s">
        <v>432</v>
      </c>
      <c r="C47" s="19" t="s">
        <v>433</v>
      </c>
      <c r="D47" s="2" t="s">
        <v>31</v>
      </c>
      <c r="E47" s="6" t="s">
        <v>270</v>
      </c>
      <c r="F47" s="2" t="s">
        <v>39</v>
      </c>
      <c r="G47" s="2" t="s">
        <v>21</v>
      </c>
      <c r="H47" s="2" t="s">
        <v>42</v>
      </c>
      <c r="I47" s="2" t="s">
        <v>43</v>
      </c>
      <c r="J47" s="2" t="s">
        <v>45</v>
      </c>
      <c r="K47" s="2" t="s">
        <v>46</v>
      </c>
      <c r="L47" s="2" t="s">
        <v>47</v>
      </c>
      <c r="M47" s="8" t="s">
        <v>437</v>
      </c>
    </row>
    <row r="48">
      <c r="A48" s="2" t="s">
        <v>2</v>
      </c>
      <c r="B48" s="2" t="s">
        <v>439</v>
      </c>
      <c r="C48" s="8" t="s">
        <v>440</v>
      </c>
      <c r="D48" s="2" t="s">
        <v>31</v>
      </c>
      <c r="E48" s="2" t="s">
        <v>429</v>
      </c>
      <c r="F48" s="2" t="s">
        <v>39</v>
      </c>
      <c r="G48" s="2" t="s">
        <v>21</v>
      </c>
      <c r="H48" s="2" t="s">
        <v>42</v>
      </c>
      <c r="I48" s="2" t="s">
        <v>43</v>
      </c>
      <c r="J48" s="2" t="s">
        <v>45</v>
      </c>
      <c r="K48" s="2" t="s">
        <v>46</v>
      </c>
      <c r="L48" s="2" t="s">
        <v>47</v>
      </c>
      <c r="M48" s="8" t="s">
        <v>444</v>
      </c>
    </row>
    <row r="49">
      <c r="A49" s="2" t="s">
        <v>2</v>
      </c>
      <c r="B49" s="2" t="s">
        <v>448</v>
      </c>
      <c r="C49" s="19" t="s">
        <v>449</v>
      </c>
      <c r="D49" s="2" t="s">
        <v>31</v>
      </c>
      <c r="E49" s="2" t="s">
        <v>372</v>
      </c>
      <c r="F49" s="2" t="s">
        <v>39</v>
      </c>
      <c r="G49" s="2" t="s">
        <v>21</v>
      </c>
      <c r="H49" s="2" t="s">
        <v>42</v>
      </c>
      <c r="I49" s="2" t="s">
        <v>43</v>
      </c>
      <c r="J49" s="2" t="s">
        <v>45</v>
      </c>
      <c r="K49" s="2" t="s">
        <v>46</v>
      </c>
      <c r="L49" s="2" t="s">
        <v>47</v>
      </c>
      <c r="M49" s="8" t="s">
        <v>452</v>
      </c>
    </row>
    <row r="50">
      <c r="A50" s="2" t="s">
        <v>2</v>
      </c>
      <c r="B50" s="2" t="s">
        <v>455</v>
      </c>
      <c r="C50" s="19" t="s">
        <v>456</v>
      </c>
      <c r="D50" s="2" t="s">
        <v>31</v>
      </c>
      <c r="E50" s="6" t="s">
        <v>411</v>
      </c>
      <c r="F50" s="2" t="s">
        <v>39</v>
      </c>
      <c r="G50" s="2" t="s">
        <v>21</v>
      </c>
      <c r="H50" s="2" t="s">
        <v>42</v>
      </c>
      <c r="I50" s="2" t="s">
        <v>43</v>
      </c>
      <c r="J50" s="2" t="s">
        <v>45</v>
      </c>
      <c r="K50" s="2" t="s">
        <v>46</v>
      </c>
      <c r="L50" s="2" t="s">
        <v>47</v>
      </c>
      <c r="M50" s="8" t="s">
        <v>460</v>
      </c>
    </row>
    <row r="51">
      <c r="A51" s="2" t="s">
        <v>2</v>
      </c>
      <c r="B51" s="2" t="s">
        <v>462</v>
      </c>
      <c r="C51" s="19" t="s">
        <v>463</v>
      </c>
      <c r="D51" s="2" t="s">
        <v>31</v>
      </c>
      <c r="E51" s="6" t="s">
        <v>155</v>
      </c>
      <c r="F51" s="2" t="s">
        <v>39</v>
      </c>
      <c r="G51" s="2" t="s">
        <v>21</v>
      </c>
      <c r="H51" s="2" t="s">
        <v>42</v>
      </c>
      <c r="I51" s="2" t="s">
        <v>43</v>
      </c>
      <c r="J51" s="2" t="s">
        <v>45</v>
      </c>
      <c r="K51" s="2" t="s">
        <v>46</v>
      </c>
      <c r="L51" s="2" t="s">
        <v>47</v>
      </c>
      <c r="M51" s="8" t="s">
        <v>467</v>
      </c>
    </row>
    <row r="52">
      <c r="A52" s="2" t="s">
        <v>2</v>
      </c>
      <c r="B52" s="2" t="s">
        <v>470</v>
      </c>
      <c r="C52" s="19" t="s">
        <v>471</v>
      </c>
      <c r="D52" s="2" t="s">
        <v>31</v>
      </c>
      <c r="E52" s="6" t="s">
        <v>69</v>
      </c>
      <c r="F52" s="2" t="s">
        <v>39</v>
      </c>
      <c r="G52" s="2" t="s">
        <v>21</v>
      </c>
      <c r="H52" s="2" t="s">
        <v>42</v>
      </c>
      <c r="I52" s="2" t="s">
        <v>43</v>
      </c>
      <c r="J52" s="2" t="s">
        <v>45</v>
      </c>
      <c r="K52" s="2" t="s">
        <v>46</v>
      </c>
      <c r="L52" s="2" t="s">
        <v>47</v>
      </c>
      <c r="M52" s="8" t="s">
        <v>473</v>
      </c>
    </row>
    <row r="53">
      <c r="A53" s="2" t="s">
        <v>2</v>
      </c>
      <c r="B53" s="2" t="s">
        <v>476</v>
      </c>
      <c r="C53" s="19" t="s">
        <v>477</v>
      </c>
      <c r="D53" s="2" t="s">
        <v>31</v>
      </c>
      <c r="E53" s="6" t="s">
        <v>480</v>
      </c>
      <c r="F53" s="2" t="s">
        <v>39</v>
      </c>
      <c r="G53" s="2" t="s">
        <v>21</v>
      </c>
      <c r="H53" s="2" t="s">
        <v>42</v>
      </c>
      <c r="I53" s="2" t="s">
        <v>43</v>
      </c>
      <c r="J53" s="2" t="s">
        <v>45</v>
      </c>
      <c r="K53" s="2" t="s">
        <v>46</v>
      </c>
      <c r="L53" s="2" t="s">
        <v>47</v>
      </c>
      <c r="M53" s="8" t="s">
        <v>482</v>
      </c>
    </row>
    <row r="54">
      <c r="A54" s="2" t="s">
        <v>2</v>
      </c>
      <c r="B54" s="2" t="s">
        <v>484</v>
      </c>
      <c r="C54" s="19" t="s">
        <v>485</v>
      </c>
      <c r="D54" s="2" t="s">
        <v>31</v>
      </c>
      <c r="E54" s="6" t="s">
        <v>228</v>
      </c>
      <c r="F54" s="2" t="s">
        <v>39</v>
      </c>
      <c r="G54" s="2" t="s">
        <v>21</v>
      </c>
      <c r="H54" s="2" t="s">
        <v>42</v>
      </c>
      <c r="I54" s="2" t="s">
        <v>43</v>
      </c>
      <c r="J54" s="2" t="s">
        <v>45</v>
      </c>
      <c r="K54" s="2" t="s">
        <v>46</v>
      </c>
      <c r="L54" s="2" t="s">
        <v>47</v>
      </c>
      <c r="M54" s="8" t="s">
        <v>487</v>
      </c>
    </row>
    <row r="55">
      <c r="A55" s="2" t="s">
        <v>2</v>
      </c>
      <c r="B55" s="2" t="s">
        <v>489</v>
      </c>
      <c r="C55" s="19" t="s">
        <v>490</v>
      </c>
      <c r="D55" s="2" t="s">
        <v>31</v>
      </c>
      <c r="E55" s="6" t="s">
        <v>415</v>
      </c>
      <c r="F55" s="2" t="s">
        <v>39</v>
      </c>
      <c r="G55" s="2" t="s">
        <v>21</v>
      </c>
      <c r="H55" s="2" t="s">
        <v>42</v>
      </c>
      <c r="I55" s="2" t="s">
        <v>43</v>
      </c>
      <c r="J55" s="2" t="s">
        <v>45</v>
      </c>
      <c r="K55" s="2" t="s">
        <v>46</v>
      </c>
      <c r="L55" s="2" t="s">
        <v>47</v>
      </c>
      <c r="M55" s="8" t="s">
        <v>492</v>
      </c>
    </row>
    <row r="56">
      <c r="A56" s="2" t="s">
        <v>2</v>
      </c>
      <c r="B56" s="2" t="s">
        <v>494</v>
      </c>
      <c r="C56" s="19" t="s">
        <v>495</v>
      </c>
      <c r="D56" s="2" t="s">
        <v>31</v>
      </c>
      <c r="E56" s="2" t="s">
        <v>451</v>
      </c>
      <c r="F56" s="2" t="s">
        <v>39</v>
      </c>
      <c r="G56" s="2" t="s">
        <v>21</v>
      </c>
      <c r="H56" s="2" t="s">
        <v>42</v>
      </c>
      <c r="I56" s="2" t="s">
        <v>43</v>
      </c>
      <c r="J56" s="2" t="s">
        <v>45</v>
      </c>
      <c r="K56" s="2" t="s">
        <v>46</v>
      </c>
      <c r="L56" s="2" t="s">
        <v>47</v>
      </c>
      <c r="M56" s="8" t="s">
        <v>497</v>
      </c>
    </row>
    <row r="57">
      <c r="A57" s="2" t="s">
        <v>2</v>
      </c>
      <c r="B57" s="2" t="s">
        <v>499</v>
      </c>
      <c r="C57" s="19" t="s">
        <v>500</v>
      </c>
      <c r="D57" s="2" t="s">
        <v>31</v>
      </c>
      <c r="E57" s="6" t="s">
        <v>434</v>
      </c>
      <c r="F57" s="2" t="s">
        <v>39</v>
      </c>
      <c r="G57" s="2" t="s">
        <v>21</v>
      </c>
      <c r="H57" s="2" t="s">
        <v>42</v>
      </c>
      <c r="I57" s="2" t="s">
        <v>43</v>
      </c>
      <c r="J57" s="2" t="s">
        <v>45</v>
      </c>
      <c r="K57" s="2" t="s">
        <v>46</v>
      </c>
      <c r="L57" s="2" t="s">
        <v>47</v>
      </c>
      <c r="M57" s="8" t="s">
        <v>502</v>
      </c>
    </row>
    <row r="58">
      <c r="A58" s="2" t="s">
        <v>2</v>
      </c>
      <c r="B58" s="2" t="s">
        <v>504</v>
      </c>
      <c r="C58" s="19" t="s">
        <v>505</v>
      </c>
      <c r="D58" s="2" t="s">
        <v>31</v>
      </c>
      <c r="E58" s="2" t="s">
        <v>405</v>
      </c>
      <c r="F58" s="2" t="s">
        <v>39</v>
      </c>
      <c r="G58" s="2" t="s">
        <v>21</v>
      </c>
      <c r="H58" s="2" t="s">
        <v>42</v>
      </c>
      <c r="I58" s="2" t="s">
        <v>43</v>
      </c>
      <c r="J58" s="2" t="s">
        <v>45</v>
      </c>
      <c r="K58" s="2" t="s">
        <v>46</v>
      </c>
      <c r="L58" s="2" t="s">
        <v>47</v>
      </c>
      <c r="M58" s="8" t="s">
        <v>507</v>
      </c>
    </row>
    <row r="59">
      <c r="A59" s="2" t="s">
        <v>2</v>
      </c>
      <c r="B59" s="2" t="s">
        <v>509</v>
      </c>
      <c r="C59" s="19" t="s">
        <v>510</v>
      </c>
      <c r="D59" s="2" t="s">
        <v>31</v>
      </c>
      <c r="E59" s="6" t="s">
        <v>63</v>
      </c>
      <c r="F59" s="2" t="s">
        <v>39</v>
      </c>
      <c r="G59" s="2" t="s">
        <v>21</v>
      </c>
      <c r="H59" s="2" t="s">
        <v>42</v>
      </c>
      <c r="I59" s="2" t="s">
        <v>43</v>
      </c>
      <c r="J59" s="2" t="s">
        <v>45</v>
      </c>
      <c r="K59" s="2" t="s">
        <v>46</v>
      </c>
      <c r="L59" s="2" t="s">
        <v>47</v>
      </c>
      <c r="M59" s="8" t="s">
        <v>512</v>
      </c>
    </row>
    <row r="60">
      <c r="A60" s="2" t="s">
        <v>2</v>
      </c>
      <c r="B60" s="2" t="s">
        <v>513</v>
      </c>
      <c r="C60" s="19" t="s">
        <v>514</v>
      </c>
      <c r="D60" s="2" t="s">
        <v>31</v>
      </c>
      <c r="E60" s="2" t="s">
        <v>441</v>
      </c>
      <c r="F60" s="2" t="s">
        <v>39</v>
      </c>
      <c r="G60" s="2" t="s">
        <v>21</v>
      </c>
      <c r="H60" s="2" t="s">
        <v>42</v>
      </c>
      <c r="I60" s="2" t="s">
        <v>43</v>
      </c>
      <c r="J60" s="2" t="s">
        <v>45</v>
      </c>
      <c r="K60" s="2" t="s">
        <v>46</v>
      </c>
      <c r="L60" s="2" t="s">
        <v>47</v>
      </c>
      <c r="M60" s="8" t="s">
        <v>517</v>
      </c>
    </row>
    <row r="61">
      <c r="A61" s="2" t="s">
        <v>2</v>
      </c>
      <c r="B61" s="2" t="s">
        <v>518</v>
      </c>
      <c r="C61" s="19" t="s">
        <v>519</v>
      </c>
      <c r="D61" s="2" t="s">
        <v>31</v>
      </c>
      <c r="E61" s="6" t="s">
        <v>351</v>
      </c>
      <c r="F61" s="2" t="s">
        <v>39</v>
      </c>
      <c r="G61" s="2" t="s">
        <v>21</v>
      </c>
      <c r="H61" s="2" t="s">
        <v>42</v>
      </c>
      <c r="I61" s="2" t="s">
        <v>43</v>
      </c>
      <c r="J61" s="2" t="s">
        <v>45</v>
      </c>
      <c r="K61" s="2" t="s">
        <v>46</v>
      </c>
      <c r="L61" s="2" t="s">
        <v>47</v>
      </c>
      <c r="M61" s="8" t="s">
        <v>521</v>
      </c>
    </row>
    <row r="62">
      <c r="A62" s="2" t="s">
        <v>2</v>
      </c>
      <c r="B62" s="2" t="s">
        <v>523</v>
      </c>
      <c r="C62" s="19" t="s">
        <v>524</v>
      </c>
      <c r="D62" s="2" t="s">
        <v>31</v>
      </c>
      <c r="E62" s="6" t="s">
        <v>341</v>
      </c>
      <c r="F62" s="2" t="s">
        <v>39</v>
      </c>
      <c r="G62" s="2" t="s">
        <v>21</v>
      </c>
      <c r="H62" s="2" t="s">
        <v>42</v>
      </c>
      <c r="I62" s="2" t="s">
        <v>43</v>
      </c>
      <c r="J62" s="2" t="s">
        <v>45</v>
      </c>
      <c r="K62" s="2" t="s">
        <v>46</v>
      </c>
      <c r="L62" s="2" t="s">
        <v>47</v>
      </c>
      <c r="M62" s="8" t="s">
        <v>527</v>
      </c>
    </row>
    <row r="63">
      <c r="A63" s="2" t="s">
        <v>2</v>
      </c>
      <c r="B63" s="2" t="s">
        <v>529</v>
      </c>
      <c r="C63" s="19" t="s">
        <v>530</v>
      </c>
      <c r="D63" s="2" t="s">
        <v>31</v>
      </c>
      <c r="E63" s="6" t="s">
        <v>311</v>
      </c>
      <c r="F63" s="2" t="s">
        <v>39</v>
      </c>
      <c r="G63" s="2" t="s">
        <v>21</v>
      </c>
      <c r="H63" s="2" t="s">
        <v>42</v>
      </c>
      <c r="I63" s="2" t="s">
        <v>43</v>
      </c>
      <c r="J63" s="2" t="s">
        <v>45</v>
      </c>
      <c r="K63" s="2" t="s">
        <v>46</v>
      </c>
      <c r="L63" s="2" t="s">
        <v>47</v>
      </c>
      <c r="M63" s="8" t="s">
        <v>533</v>
      </c>
    </row>
    <row r="64">
      <c r="A64" s="2" t="s">
        <v>2</v>
      </c>
      <c r="B64" s="2" t="s">
        <v>534</v>
      </c>
      <c r="C64" s="19" t="s">
        <v>535</v>
      </c>
      <c r="D64" s="2" t="s">
        <v>31</v>
      </c>
      <c r="E64" s="6" t="s">
        <v>478</v>
      </c>
      <c r="F64" s="2" t="s">
        <v>39</v>
      </c>
      <c r="G64" s="2" t="s">
        <v>21</v>
      </c>
      <c r="H64" s="2" t="s">
        <v>42</v>
      </c>
      <c r="I64" s="2" t="s">
        <v>43</v>
      </c>
      <c r="J64" s="2" t="s">
        <v>45</v>
      </c>
      <c r="K64" s="2" t="s">
        <v>46</v>
      </c>
      <c r="L64" s="2" t="s">
        <v>47</v>
      </c>
      <c r="M64" s="8" t="s">
        <v>537</v>
      </c>
    </row>
    <row r="65">
      <c r="A65" s="2" t="s">
        <v>2</v>
      </c>
      <c r="B65" s="2" t="s">
        <v>539</v>
      </c>
      <c r="C65" s="19" t="s">
        <v>540</v>
      </c>
      <c r="D65" s="2" t="s">
        <v>31</v>
      </c>
      <c r="E65" s="2" t="s">
        <v>464</v>
      </c>
      <c r="F65" s="2" t="s">
        <v>39</v>
      </c>
      <c r="G65" s="2" t="s">
        <v>21</v>
      </c>
      <c r="H65" s="2" t="s">
        <v>42</v>
      </c>
      <c r="I65" s="2" t="s">
        <v>43</v>
      </c>
      <c r="J65" s="2" t="s">
        <v>45</v>
      </c>
      <c r="K65" s="2" t="s">
        <v>46</v>
      </c>
      <c r="L65" s="2" t="s">
        <v>47</v>
      </c>
      <c r="M65" s="8" t="s">
        <v>541</v>
      </c>
    </row>
    <row r="66">
      <c r="A66" s="2" t="s">
        <v>2</v>
      </c>
      <c r="B66" s="2" t="s">
        <v>543</v>
      </c>
      <c r="C66" s="19" t="s">
        <v>544</v>
      </c>
      <c r="D66" s="2" t="s">
        <v>31</v>
      </c>
      <c r="E66" s="6" t="s">
        <v>184</v>
      </c>
      <c r="F66" s="2" t="s">
        <v>39</v>
      </c>
      <c r="G66" s="2" t="s">
        <v>21</v>
      </c>
      <c r="H66" s="2" t="s">
        <v>42</v>
      </c>
      <c r="I66" s="2" t="s">
        <v>43</v>
      </c>
      <c r="J66" s="2" t="s">
        <v>45</v>
      </c>
      <c r="K66" s="2" t="s">
        <v>46</v>
      </c>
      <c r="L66" s="2" t="s">
        <v>47</v>
      </c>
      <c r="M66" s="8" t="s">
        <v>546</v>
      </c>
    </row>
    <row r="67">
      <c r="A67" s="2" t="s">
        <v>2</v>
      </c>
      <c r="B67" s="2" t="s">
        <v>548</v>
      </c>
      <c r="C67" s="19" t="s">
        <v>549</v>
      </c>
      <c r="D67" s="2" t="s">
        <v>31</v>
      </c>
      <c r="E67" s="6" t="s">
        <v>251</v>
      </c>
      <c r="F67" s="2" t="s">
        <v>39</v>
      </c>
      <c r="G67" s="2" t="s">
        <v>21</v>
      </c>
      <c r="H67" s="2" t="s">
        <v>42</v>
      </c>
      <c r="I67" s="2" t="s">
        <v>43</v>
      </c>
      <c r="J67" s="2" t="s">
        <v>45</v>
      </c>
      <c r="K67" s="2" t="s">
        <v>46</v>
      </c>
      <c r="L67" s="2" t="s">
        <v>47</v>
      </c>
      <c r="M67" s="8" t="s">
        <v>551</v>
      </c>
    </row>
    <row r="68">
      <c r="A68" s="2" t="s">
        <v>2</v>
      </c>
      <c r="B68" s="2" t="s">
        <v>552</v>
      </c>
      <c r="C68" s="19" t="s">
        <v>553</v>
      </c>
      <c r="D68" s="2" t="s">
        <v>31</v>
      </c>
      <c r="E68" s="6" t="s">
        <v>200</v>
      </c>
      <c r="F68" s="2" t="s">
        <v>39</v>
      </c>
      <c r="G68" s="2" t="s">
        <v>21</v>
      </c>
      <c r="H68" s="2" t="s">
        <v>42</v>
      </c>
      <c r="I68" s="2" t="s">
        <v>43</v>
      </c>
      <c r="J68" s="2" t="s">
        <v>45</v>
      </c>
      <c r="K68" s="2" t="s">
        <v>46</v>
      </c>
      <c r="L68" s="2" t="s">
        <v>47</v>
      </c>
      <c r="M68" s="8" t="s">
        <v>555</v>
      </c>
    </row>
    <row r="69">
      <c r="A69" s="2" t="s">
        <v>2</v>
      </c>
      <c r="B69" s="2" t="s">
        <v>557</v>
      </c>
      <c r="C69" s="19" t="s">
        <v>558</v>
      </c>
      <c r="D69" s="2" t="s">
        <v>31</v>
      </c>
      <c r="E69" s="6" t="s">
        <v>445</v>
      </c>
      <c r="F69" s="2" t="s">
        <v>39</v>
      </c>
      <c r="G69" s="2" t="s">
        <v>21</v>
      </c>
      <c r="H69" s="2" t="s">
        <v>42</v>
      </c>
      <c r="I69" s="2" t="s">
        <v>43</v>
      </c>
      <c r="J69" s="2" t="s">
        <v>45</v>
      </c>
      <c r="K69" s="2" t="s">
        <v>46</v>
      </c>
      <c r="L69" s="2" t="s">
        <v>47</v>
      </c>
      <c r="M69" s="8" t="s">
        <v>560</v>
      </c>
    </row>
    <row r="70">
      <c r="A70" s="2" t="s">
        <v>2</v>
      </c>
      <c r="B70" s="2" t="s">
        <v>561</v>
      </c>
      <c r="C70" s="19" t="s">
        <v>562</v>
      </c>
      <c r="D70" s="2" t="s">
        <v>31</v>
      </c>
      <c r="E70" s="2" t="s">
        <v>457</v>
      </c>
      <c r="F70" s="2" t="s">
        <v>39</v>
      </c>
      <c r="G70" s="2" t="s">
        <v>21</v>
      </c>
      <c r="H70" s="2" t="s">
        <v>42</v>
      </c>
      <c r="I70" s="2" t="s">
        <v>43</v>
      </c>
      <c r="J70" s="2" t="s">
        <v>45</v>
      </c>
      <c r="K70" s="2" t="s">
        <v>46</v>
      </c>
      <c r="L70" s="2" t="s">
        <v>47</v>
      </c>
      <c r="M70" s="8" t="s">
        <v>564</v>
      </c>
    </row>
    <row r="71">
      <c r="A71" s="2" t="s">
        <v>2</v>
      </c>
      <c r="B71" s="2" t="s">
        <v>565</v>
      </c>
      <c r="C71" s="19" t="s">
        <v>566</v>
      </c>
      <c r="D71" s="2" t="s">
        <v>31</v>
      </c>
      <c r="E71" s="6" t="s">
        <v>568</v>
      </c>
      <c r="F71" s="2" t="s">
        <v>39</v>
      </c>
      <c r="G71" s="2" t="s">
        <v>21</v>
      </c>
      <c r="H71" s="2" t="s">
        <v>42</v>
      </c>
      <c r="I71" s="2" t="s">
        <v>43</v>
      </c>
      <c r="J71" s="2" t="s">
        <v>45</v>
      </c>
      <c r="K71" s="2" t="s">
        <v>46</v>
      </c>
      <c r="L71" s="2" t="s">
        <v>47</v>
      </c>
      <c r="M71" s="8" t="s">
        <v>569</v>
      </c>
    </row>
    <row r="72">
      <c r="A72" s="2" t="s">
        <v>2</v>
      </c>
      <c r="B72" s="2" t="s">
        <v>571</v>
      </c>
      <c r="C72" s="19" t="s">
        <v>572</v>
      </c>
      <c r="D72" s="2" t="s">
        <v>31</v>
      </c>
      <c r="E72" s="6" t="s">
        <v>357</v>
      </c>
      <c r="F72" s="2" t="s">
        <v>39</v>
      </c>
      <c r="G72" s="2" t="s">
        <v>21</v>
      </c>
      <c r="H72" s="2" t="s">
        <v>42</v>
      </c>
      <c r="I72" s="2" t="s">
        <v>43</v>
      </c>
      <c r="J72" s="2" t="s">
        <v>45</v>
      </c>
      <c r="K72" s="2" t="s">
        <v>46</v>
      </c>
      <c r="L72" s="2" t="s">
        <v>47</v>
      </c>
      <c r="M72" s="8" t="s">
        <v>574</v>
      </c>
    </row>
    <row r="73">
      <c r="A73" s="2" t="s">
        <v>2</v>
      </c>
      <c r="B73" s="2" t="s">
        <v>575</v>
      </c>
      <c r="C73" s="19" t="s">
        <v>576</v>
      </c>
      <c r="D73" s="2" t="s">
        <v>31</v>
      </c>
      <c r="E73" s="6" t="s">
        <v>279</v>
      </c>
      <c r="F73" s="2" t="s">
        <v>39</v>
      </c>
      <c r="G73" s="2" t="s">
        <v>21</v>
      </c>
      <c r="H73" s="2" t="s">
        <v>42</v>
      </c>
      <c r="I73" s="2" t="s">
        <v>43</v>
      </c>
      <c r="J73" s="2" t="s">
        <v>45</v>
      </c>
      <c r="K73" s="2" t="s">
        <v>46</v>
      </c>
      <c r="L73" s="2" t="s">
        <v>47</v>
      </c>
      <c r="M73" s="8" t="s">
        <v>578</v>
      </c>
    </row>
    <row r="74">
      <c r="A74" s="2" t="s">
        <v>2</v>
      </c>
      <c r="B74" s="2" t="s">
        <v>579</v>
      </c>
      <c r="C74" s="19" t="s">
        <v>580</v>
      </c>
      <c r="D74" s="2" t="s">
        <v>31</v>
      </c>
      <c r="E74" s="6" t="s">
        <v>582</v>
      </c>
      <c r="F74" s="2" t="s">
        <v>39</v>
      </c>
      <c r="G74" s="2" t="s">
        <v>21</v>
      </c>
      <c r="H74" s="2" t="s">
        <v>42</v>
      </c>
      <c r="I74" s="2" t="s">
        <v>43</v>
      </c>
      <c r="J74" s="2" t="s">
        <v>45</v>
      </c>
      <c r="K74" s="2" t="s">
        <v>46</v>
      </c>
      <c r="L74" s="2" t="s">
        <v>47</v>
      </c>
      <c r="M74" s="8" t="s">
        <v>583</v>
      </c>
    </row>
    <row r="75">
      <c r="A75" s="2" t="s">
        <v>2</v>
      </c>
      <c r="B75" s="2" t="s">
        <v>585</v>
      </c>
      <c r="C75" s="19" t="s">
        <v>586</v>
      </c>
      <c r="D75" s="2" t="s">
        <v>31</v>
      </c>
      <c r="E75" s="6" t="s">
        <v>222</v>
      </c>
      <c r="F75" s="2" t="s">
        <v>39</v>
      </c>
      <c r="G75" s="2" t="s">
        <v>21</v>
      </c>
      <c r="H75" s="2" t="s">
        <v>42</v>
      </c>
      <c r="I75" s="2" t="s">
        <v>43</v>
      </c>
      <c r="J75" s="2" t="s">
        <v>45</v>
      </c>
      <c r="K75" s="2" t="s">
        <v>46</v>
      </c>
      <c r="L75" s="2" t="s">
        <v>47</v>
      </c>
      <c r="M75" s="8" t="s">
        <v>588</v>
      </c>
    </row>
    <row r="76">
      <c r="A76" s="2" t="s">
        <v>2</v>
      </c>
      <c r="B76" s="2" t="s">
        <v>590</v>
      </c>
      <c r="C76" s="19" t="s">
        <v>591</v>
      </c>
      <c r="D76" s="2" t="s">
        <v>31</v>
      </c>
      <c r="E76" s="6" t="s">
        <v>338</v>
      </c>
      <c r="F76" s="2" t="s">
        <v>39</v>
      </c>
      <c r="G76" s="2" t="s">
        <v>21</v>
      </c>
      <c r="H76" s="2" t="s">
        <v>42</v>
      </c>
      <c r="I76" s="2" t="s">
        <v>43</v>
      </c>
      <c r="J76" s="2" t="s">
        <v>45</v>
      </c>
      <c r="K76" s="2" t="s">
        <v>46</v>
      </c>
      <c r="L76" s="2" t="s">
        <v>47</v>
      </c>
      <c r="M76" s="8" t="s">
        <v>592</v>
      </c>
    </row>
    <row r="77">
      <c r="A77" s="2" t="s">
        <v>2</v>
      </c>
      <c r="B77" s="2" t="s">
        <v>593</v>
      </c>
      <c r="C77" s="19" t="s">
        <v>594</v>
      </c>
      <c r="D77" s="2" t="s">
        <v>31</v>
      </c>
      <c r="E77" s="6" t="s">
        <v>101</v>
      </c>
      <c r="F77" s="2" t="s">
        <v>39</v>
      </c>
      <c r="G77" s="2" t="s">
        <v>21</v>
      </c>
      <c r="H77" s="2" t="s">
        <v>42</v>
      </c>
      <c r="I77" s="2" t="s">
        <v>43</v>
      </c>
      <c r="J77" s="2" t="s">
        <v>45</v>
      </c>
      <c r="K77" s="2" t="s">
        <v>46</v>
      </c>
      <c r="L77" s="2" t="s">
        <v>47</v>
      </c>
      <c r="M77" s="8" t="s">
        <v>595</v>
      </c>
    </row>
    <row r="78">
      <c r="A78" s="2" t="s">
        <v>2</v>
      </c>
      <c r="B78" s="2" t="s">
        <v>596</v>
      </c>
      <c r="C78" s="19" t="s">
        <v>597</v>
      </c>
      <c r="D78" s="2" t="s">
        <v>31</v>
      </c>
      <c r="E78" s="2" t="s">
        <v>390</v>
      </c>
      <c r="F78" s="2" t="s">
        <v>39</v>
      </c>
      <c r="G78" s="2" t="s">
        <v>21</v>
      </c>
      <c r="H78" s="2" t="s">
        <v>42</v>
      </c>
      <c r="I78" s="2" t="s">
        <v>43</v>
      </c>
      <c r="J78" s="2" t="s">
        <v>598</v>
      </c>
      <c r="K78" s="2" t="s">
        <v>46</v>
      </c>
      <c r="L78" s="2" t="s">
        <v>47</v>
      </c>
      <c r="M78" s="8" t="s">
        <v>599</v>
      </c>
    </row>
    <row r="79">
      <c r="A79" s="2" t="s">
        <v>2</v>
      </c>
      <c r="B79" s="20" t="s">
        <v>600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2"/>
    </row>
    <row r="80">
      <c r="A80" s="2" t="s">
        <v>2</v>
      </c>
      <c r="B80" s="2" t="s">
        <v>600</v>
      </c>
      <c r="C80" s="19" t="s">
        <v>601</v>
      </c>
      <c r="D80" s="2" t="s">
        <v>28</v>
      </c>
      <c r="E80" s="2" t="s">
        <v>0</v>
      </c>
      <c r="F80" s="2" t="s">
        <v>39</v>
      </c>
      <c r="G80" s="2" t="s">
        <v>21</v>
      </c>
      <c r="H80" s="2" t="s">
        <v>42</v>
      </c>
      <c r="I80" s="2" t="s">
        <v>43</v>
      </c>
      <c r="J80" s="2" t="s">
        <v>45</v>
      </c>
      <c r="K80" s="2" t="s">
        <v>46</v>
      </c>
      <c r="L80" s="2" t="s">
        <v>47</v>
      </c>
      <c r="M80" s="8" t="s">
        <v>602</v>
      </c>
    </row>
    <row r="81">
      <c r="A81" s="2" t="s">
        <v>2</v>
      </c>
      <c r="B81" s="2" t="s">
        <v>603</v>
      </c>
      <c r="C81" s="19" t="s">
        <v>604</v>
      </c>
      <c r="D81" s="2" t="s">
        <v>31</v>
      </c>
      <c r="E81" s="6" t="s">
        <v>75</v>
      </c>
      <c r="F81" s="2" t="s">
        <v>39</v>
      </c>
      <c r="G81" s="2" t="s">
        <v>21</v>
      </c>
      <c r="H81" s="2" t="s">
        <v>42</v>
      </c>
      <c r="I81" s="2" t="s">
        <v>43</v>
      </c>
      <c r="J81" s="2" t="s">
        <v>45</v>
      </c>
      <c r="K81" s="2" t="s">
        <v>46</v>
      </c>
      <c r="L81" s="2" t="s">
        <v>47</v>
      </c>
      <c r="M81" s="8" t="s">
        <v>605</v>
      </c>
    </row>
    <row r="82">
      <c r="A82" s="2" t="s">
        <v>2</v>
      </c>
      <c r="B82" s="2" t="s">
        <v>606</v>
      </c>
      <c r="C82" s="19" t="s">
        <v>607</v>
      </c>
      <c r="D82" s="2" t="s">
        <v>31</v>
      </c>
      <c r="E82" s="6" t="s">
        <v>478</v>
      </c>
      <c r="F82" s="2" t="s">
        <v>39</v>
      </c>
      <c r="G82" s="2" t="s">
        <v>21</v>
      </c>
      <c r="H82" s="2" t="s">
        <v>42</v>
      </c>
      <c r="I82" s="2" t="s">
        <v>43</v>
      </c>
      <c r="J82" s="2" t="s">
        <v>45</v>
      </c>
      <c r="K82" s="2" t="s">
        <v>46</v>
      </c>
      <c r="L82" s="2" t="s">
        <v>47</v>
      </c>
      <c r="M82" s="8" t="s">
        <v>608</v>
      </c>
    </row>
    <row r="83">
      <c r="A83" s="2" t="s">
        <v>2</v>
      </c>
      <c r="B83" s="2" t="s">
        <v>609</v>
      </c>
      <c r="C83" s="19" t="s">
        <v>610</v>
      </c>
      <c r="D83" s="2" t="s">
        <v>31</v>
      </c>
      <c r="E83" s="6" t="s">
        <v>164</v>
      </c>
      <c r="F83" s="2" t="s">
        <v>39</v>
      </c>
      <c r="G83" s="2" t="s">
        <v>21</v>
      </c>
      <c r="H83" s="2" t="s">
        <v>42</v>
      </c>
      <c r="I83" s="2" t="s">
        <v>43</v>
      </c>
      <c r="J83" s="2" t="s">
        <v>45</v>
      </c>
      <c r="K83" s="2" t="s">
        <v>46</v>
      </c>
      <c r="L83" s="2" t="s">
        <v>47</v>
      </c>
      <c r="M83" s="8" t="s">
        <v>611</v>
      </c>
    </row>
    <row r="84">
      <c r="A84" s="2" t="s">
        <v>2</v>
      </c>
      <c r="B84" s="2" t="s">
        <v>612</v>
      </c>
      <c r="C84" s="19" t="s">
        <v>613</v>
      </c>
      <c r="D84" s="2" t="s">
        <v>31</v>
      </c>
      <c r="E84" s="6" t="s">
        <v>434</v>
      </c>
      <c r="F84" s="2" t="s">
        <v>39</v>
      </c>
      <c r="G84" s="2" t="s">
        <v>21</v>
      </c>
      <c r="H84" s="2" t="s">
        <v>42</v>
      </c>
      <c r="I84" s="2" t="s">
        <v>43</v>
      </c>
      <c r="J84" s="2" t="s">
        <v>45</v>
      </c>
      <c r="K84" s="2" t="s">
        <v>46</v>
      </c>
      <c r="L84" s="2" t="s">
        <v>47</v>
      </c>
      <c r="M84" s="8" t="s">
        <v>614</v>
      </c>
    </row>
    <row r="85">
      <c r="A85" s="2" t="s">
        <v>2</v>
      </c>
      <c r="B85" s="2" t="s">
        <v>615</v>
      </c>
      <c r="C85" s="19" t="s">
        <v>616</v>
      </c>
      <c r="D85" s="2" t="s">
        <v>31</v>
      </c>
      <c r="E85" s="6" t="s">
        <v>405</v>
      </c>
      <c r="F85" s="2" t="s">
        <v>39</v>
      </c>
      <c r="G85" s="2" t="s">
        <v>21</v>
      </c>
      <c r="H85" s="2" t="s">
        <v>42</v>
      </c>
      <c r="I85" s="2" t="s">
        <v>43</v>
      </c>
      <c r="J85" s="2" t="s">
        <v>45</v>
      </c>
      <c r="K85" s="2" t="s">
        <v>46</v>
      </c>
      <c r="L85" s="2" t="s">
        <v>47</v>
      </c>
      <c r="M85" s="8" t="s">
        <v>617</v>
      </c>
    </row>
    <row r="86">
      <c r="A86" s="2" t="s">
        <v>2</v>
      </c>
      <c r="B86" s="2" t="s">
        <v>618</v>
      </c>
      <c r="C86" s="19" t="s">
        <v>619</v>
      </c>
      <c r="D86" s="2" t="s">
        <v>31</v>
      </c>
      <c r="E86" s="6" t="s">
        <v>49</v>
      </c>
      <c r="F86" s="2" t="s">
        <v>39</v>
      </c>
      <c r="G86" s="2" t="s">
        <v>21</v>
      </c>
      <c r="H86" s="2" t="s">
        <v>42</v>
      </c>
      <c r="I86" s="2" t="s">
        <v>43</v>
      </c>
      <c r="J86" s="2" t="s">
        <v>45</v>
      </c>
      <c r="K86" s="2" t="s">
        <v>46</v>
      </c>
      <c r="L86" s="2" t="s">
        <v>47</v>
      </c>
      <c r="M86" s="8" t="s">
        <v>620</v>
      </c>
    </row>
    <row r="87">
      <c r="A87" s="2" t="s">
        <v>2</v>
      </c>
      <c r="B87" s="2" t="s">
        <v>621</v>
      </c>
      <c r="C87" s="19" t="s">
        <v>622</v>
      </c>
      <c r="D87" s="2" t="s">
        <v>31</v>
      </c>
      <c r="E87" s="6" t="s">
        <v>78</v>
      </c>
      <c r="F87" s="2" t="s">
        <v>39</v>
      </c>
      <c r="G87" s="2" t="s">
        <v>21</v>
      </c>
      <c r="H87" s="2" t="s">
        <v>42</v>
      </c>
      <c r="I87" s="2" t="s">
        <v>43</v>
      </c>
      <c r="J87" s="2" t="s">
        <v>45</v>
      </c>
      <c r="K87" s="2" t="s">
        <v>46</v>
      </c>
      <c r="L87" s="2" t="s">
        <v>47</v>
      </c>
      <c r="M87" s="8" t="s">
        <v>623</v>
      </c>
    </row>
    <row r="88">
      <c r="A88" s="2" t="s">
        <v>2</v>
      </c>
      <c r="B88" s="2" t="s">
        <v>624</v>
      </c>
      <c r="C88" s="19" t="s">
        <v>625</v>
      </c>
      <c r="D88" s="2" t="s">
        <v>31</v>
      </c>
      <c r="E88" s="6" t="s">
        <v>124</v>
      </c>
      <c r="F88" s="2" t="s">
        <v>39</v>
      </c>
      <c r="G88" s="2" t="s">
        <v>21</v>
      </c>
      <c r="H88" s="2" t="s">
        <v>42</v>
      </c>
      <c r="I88" s="2" t="s">
        <v>43</v>
      </c>
      <c r="J88" s="2" t="s">
        <v>45</v>
      </c>
      <c r="K88" s="2" t="s">
        <v>46</v>
      </c>
      <c r="L88" s="2" t="s">
        <v>47</v>
      </c>
      <c r="M88" s="8" t="s">
        <v>626</v>
      </c>
    </row>
    <row r="89">
      <c r="A89" s="2" t="s">
        <v>2</v>
      </c>
      <c r="B89" s="2" t="s">
        <v>627</v>
      </c>
      <c r="C89" s="19" t="s">
        <v>628</v>
      </c>
      <c r="D89" s="2" t="s">
        <v>31</v>
      </c>
      <c r="E89" s="6" t="s">
        <v>66</v>
      </c>
      <c r="F89" s="2" t="s">
        <v>39</v>
      </c>
      <c r="G89" s="2" t="s">
        <v>21</v>
      </c>
      <c r="H89" s="2" t="s">
        <v>42</v>
      </c>
      <c r="I89" s="2" t="s">
        <v>43</v>
      </c>
      <c r="J89" s="2" t="s">
        <v>45</v>
      </c>
      <c r="K89" s="2" t="s">
        <v>46</v>
      </c>
      <c r="L89" s="2" t="s">
        <v>47</v>
      </c>
      <c r="M89" s="8" t="s">
        <v>629</v>
      </c>
    </row>
    <row r="90">
      <c r="A90" s="2" t="s">
        <v>2</v>
      </c>
      <c r="B90" s="2" t="s">
        <v>630</v>
      </c>
      <c r="C90" s="19" t="s">
        <v>631</v>
      </c>
      <c r="D90" s="2" t="s">
        <v>31</v>
      </c>
      <c r="E90" s="6" t="s">
        <v>199</v>
      </c>
      <c r="F90" s="2" t="s">
        <v>39</v>
      </c>
      <c r="G90" s="2" t="s">
        <v>21</v>
      </c>
      <c r="H90" s="2" t="s">
        <v>42</v>
      </c>
      <c r="I90" s="2" t="s">
        <v>43</v>
      </c>
      <c r="J90" s="2" t="s">
        <v>45</v>
      </c>
      <c r="K90" s="2" t="s">
        <v>46</v>
      </c>
      <c r="L90" s="2" t="s">
        <v>47</v>
      </c>
      <c r="M90" s="8" t="s">
        <v>632</v>
      </c>
    </row>
    <row r="91">
      <c r="A91" s="2" t="s">
        <v>2</v>
      </c>
      <c r="B91" s="2" t="s">
        <v>633</v>
      </c>
      <c r="C91" s="19" t="s">
        <v>634</v>
      </c>
      <c r="D91" s="2" t="s">
        <v>31</v>
      </c>
      <c r="E91" s="6" t="s">
        <v>270</v>
      </c>
      <c r="F91" s="2" t="s">
        <v>39</v>
      </c>
      <c r="G91" s="2" t="s">
        <v>21</v>
      </c>
      <c r="H91" s="2" t="s">
        <v>42</v>
      </c>
      <c r="I91" s="2" t="s">
        <v>43</v>
      </c>
      <c r="J91" s="2" t="s">
        <v>45</v>
      </c>
      <c r="K91" s="2" t="s">
        <v>46</v>
      </c>
      <c r="L91" s="2" t="s">
        <v>47</v>
      </c>
      <c r="M91" s="8" t="s">
        <v>635</v>
      </c>
    </row>
    <row r="92">
      <c r="A92" s="2" t="s">
        <v>2</v>
      </c>
      <c r="B92" s="2" t="s">
        <v>636</v>
      </c>
      <c r="C92" s="19" t="s">
        <v>637</v>
      </c>
      <c r="D92" s="2" t="s">
        <v>31</v>
      </c>
      <c r="E92" s="6" t="s">
        <v>142</v>
      </c>
      <c r="F92" s="2" t="s">
        <v>39</v>
      </c>
      <c r="G92" s="2" t="s">
        <v>21</v>
      </c>
      <c r="H92" s="2" t="s">
        <v>42</v>
      </c>
      <c r="I92" s="2" t="s">
        <v>43</v>
      </c>
      <c r="J92" s="2" t="s">
        <v>45</v>
      </c>
      <c r="K92" s="2" t="s">
        <v>46</v>
      </c>
      <c r="L92" s="2" t="s">
        <v>47</v>
      </c>
      <c r="M92" s="8" t="s">
        <v>638</v>
      </c>
    </row>
    <row r="93">
      <c r="A93" s="2" t="s">
        <v>2</v>
      </c>
      <c r="B93" s="2" t="s">
        <v>639</v>
      </c>
      <c r="C93" s="19" t="s">
        <v>640</v>
      </c>
      <c r="D93" s="2" t="s">
        <v>31</v>
      </c>
      <c r="E93" s="6" t="s">
        <v>148</v>
      </c>
      <c r="F93" s="2" t="s">
        <v>39</v>
      </c>
      <c r="G93" s="2" t="s">
        <v>21</v>
      </c>
      <c r="H93" s="2" t="s">
        <v>42</v>
      </c>
      <c r="I93" s="2" t="s">
        <v>43</v>
      </c>
      <c r="J93" s="2" t="s">
        <v>45</v>
      </c>
      <c r="K93" s="2" t="s">
        <v>46</v>
      </c>
      <c r="L93" s="2" t="s">
        <v>47</v>
      </c>
      <c r="M93" s="8" t="s">
        <v>641</v>
      </c>
    </row>
    <row r="94">
      <c r="A94" s="2" t="s">
        <v>2</v>
      </c>
      <c r="B94" s="2" t="s">
        <v>642</v>
      </c>
      <c r="C94" s="19" t="s">
        <v>643</v>
      </c>
      <c r="D94" s="2" t="s">
        <v>31</v>
      </c>
      <c r="E94" s="6" t="s">
        <v>411</v>
      </c>
      <c r="F94" s="2" t="s">
        <v>39</v>
      </c>
      <c r="G94" s="2" t="s">
        <v>21</v>
      </c>
      <c r="H94" s="2" t="s">
        <v>42</v>
      </c>
      <c r="I94" s="2" t="s">
        <v>43</v>
      </c>
      <c r="J94" s="2" t="s">
        <v>45</v>
      </c>
      <c r="K94" s="2" t="s">
        <v>46</v>
      </c>
      <c r="L94" s="2" t="s">
        <v>47</v>
      </c>
      <c r="M94" s="8" t="s">
        <v>644</v>
      </c>
    </row>
    <row r="95">
      <c r="A95" s="2" t="s">
        <v>2</v>
      </c>
      <c r="B95" s="2" t="s">
        <v>645</v>
      </c>
      <c r="C95" s="19" t="s">
        <v>646</v>
      </c>
      <c r="D95" s="2" t="s">
        <v>31</v>
      </c>
      <c r="E95" s="6" t="s">
        <v>258</v>
      </c>
      <c r="F95" s="2" t="s">
        <v>39</v>
      </c>
      <c r="G95" s="2" t="s">
        <v>21</v>
      </c>
      <c r="H95" s="2" t="s">
        <v>42</v>
      </c>
      <c r="I95" s="2" t="s">
        <v>43</v>
      </c>
      <c r="J95" s="2" t="s">
        <v>45</v>
      </c>
      <c r="K95" s="2" t="s">
        <v>46</v>
      </c>
      <c r="L95" s="2" t="s">
        <v>47</v>
      </c>
      <c r="M95" s="8" t="s">
        <v>647</v>
      </c>
    </row>
    <row r="96">
      <c r="A96" s="2" t="s">
        <v>2</v>
      </c>
      <c r="B96" s="2" t="s">
        <v>648</v>
      </c>
      <c r="C96" s="19" t="s">
        <v>649</v>
      </c>
      <c r="D96" s="2" t="s">
        <v>31</v>
      </c>
      <c r="E96" s="6" t="s">
        <v>231</v>
      </c>
      <c r="F96" s="2" t="s">
        <v>39</v>
      </c>
      <c r="G96" s="2" t="s">
        <v>21</v>
      </c>
      <c r="H96" s="2" t="s">
        <v>42</v>
      </c>
      <c r="I96" s="2" t="s">
        <v>43</v>
      </c>
      <c r="J96" s="2" t="s">
        <v>45</v>
      </c>
      <c r="K96" s="2" t="s">
        <v>46</v>
      </c>
      <c r="L96" s="2" t="s">
        <v>47</v>
      </c>
      <c r="M96" s="8" t="s">
        <v>650</v>
      </c>
    </row>
    <row r="97">
      <c r="A97" s="2" t="s">
        <v>2</v>
      </c>
      <c r="B97" s="2" t="s">
        <v>651</v>
      </c>
      <c r="C97" s="19" t="s">
        <v>652</v>
      </c>
      <c r="D97" s="2" t="s">
        <v>31</v>
      </c>
      <c r="E97" s="6" t="s">
        <v>291</v>
      </c>
      <c r="F97" s="2" t="s">
        <v>39</v>
      </c>
      <c r="G97" s="2" t="s">
        <v>21</v>
      </c>
      <c r="H97" s="2" t="s">
        <v>42</v>
      </c>
      <c r="I97" s="2" t="s">
        <v>43</v>
      </c>
      <c r="J97" s="2" t="s">
        <v>45</v>
      </c>
      <c r="K97" s="2" t="s">
        <v>46</v>
      </c>
      <c r="L97" s="2" t="s">
        <v>47</v>
      </c>
      <c r="M97" s="8" t="s">
        <v>653</v>
      </c>
    </row>
    <row r="98">
      <c r="A98" s="2" t="s">
        <v>2</v>
      </c>
      <c r="B98" s="2" t="s">
        <v>654</v>
      </c>
      <c r="C98" s="19" t="s">
        <v>655</v>
      </c>
      <c r="D98" s="2" t="s">
        <v>31</v>
      </c>
      <c r="E98" s="6" t="s">
        <v>155</v>
      </c>
      <c r="F98" s="2" t="s">
        <v>39</v>
      </c>
      <c r="G98" s="2" t="s">
        <v>21</v>
      </c>
      <c r="H98" s="2" t="s">
        <v>42</v>
      </c>
      <c r="I98" s="2" t="s">
        <v>43</v>
      </c>
      <c r="J98" s="2" t="s">
        <v>45</v>
      </c>
      <c r="K98" s="2" t="s">
        <v>46</v>
      </c>
      <c r="L98" s="2" t="s">
        <v>47</v>
      </c>
      <c r="M98" s="8" t="s">
        <v>656</v>
      </c>
    </row>
    <row r="99">
      <c r="A99" s="2" t="s">
        <v>2</v>
      </c>
      <c r="B99" s="2" t="s">
        <v>657</v>
      </c>
      <c r="C99" s="19" t="s">
        <v>658</v>
      </c>
      <c r="D99" s="2" t="s">
        <v>31</v>
      </c>
      <c r="E99" s="6" t="s">
        <v>415</v>
      </c>
      <c r="F99" s="2" t="s">
        <v>39</v>
      </c>
      <c r="G99" s="2" t="s">
        <v>21</v>
      </c>
      <c r="H99" s="2" t="s">
        <v>42</v>
      </c>
      <c r="I99" s="2" t="s">
        <v>43</v>
      </c>
      <c r="J99" s="2" t="s">
        <v>45</v>
      </c>
      <c r="K99" s="2" t="s">
        <v>46</v>
      </c>
      <c r="L99" s="2" t="s">
        <v>47</v>
      </c>
      <c r="M99" s="8" t="s">
        <v>659</v>
      </c>
    </row>
    <row r="100">
      <c r="A100" s="2" t="s">
        <v>2</v>
      </c>
      <c r="B100" s="2" t="s">
        <v>660</v>
      </c>
      <c r="C100" s="19" t="s">
        <v>661</v>
      </c>
      <c r="D100" s="2" t="s">
        <v>31</v>
      </c>
      <c r="E100" s="6" t="s">
        <v>422</v>
      </c>
      <c r="F100" s="2" t="s">
        <v>39</v>
      </c>
      <c r="G100" s="2" t="s">
        <v>21</v>
      </c>
      <c r="H100" s="2" t="s">
        <v>42</v>
      </c>
      <c r="I100" s="2" t="s">
        <v>43</v>
      </c>
      <c r="J100" s="2" t="s">
        <v>45</v>
      </c>
      <c r="K100" s="2" t="s">
        <v>46</v>
      </c>
      <c r="L100" s="2" t="s">
        <v>47</v>
      </c>
      <c r="M100" s="8" t="s">
        <v>662</v>
      </c>
    </row>
    <row r="101">
      <c r="A101" s="2" t="s">
        <v>2</v>
      </c>
      <c r="B101" s="2" t="s">
        <v>663</v>
      </c>
      <c r="C101" s="19" t="s">
        <v>664</v>
      </c>
      <c r="D101" s="2" t="s">
        <v>31</v>
      </c>
      <c r="E101" s="6" t="s">
        <v>193</v>
      </c>
      <c r="F101" s="2" t="s">
        <v>39</v>
      </c>
      <c r="G101" s="2" t="s">
        <v>21</v>
      </c>
      <c r="H101" s="2" t="s">
        <v>42</v>
      </c>
      <c r="I101" s="2" t="s">
        <v>43</v>
      </c>
      <c r="J101" s="2" t="s">
        <v>45</v>
      </c>
      <c r="K101" s="2" t="s">
        <v>46</v>
      </c>
      <c r="L101" s="2" t="s">
        <v>47</v>
      </c>
      <c r="M101" s="8" t="s">
        <v>665</v>
      </c>
    </row>
    <row r="102">
      <c r="A102" s="2" t="s">
        <v>2</v>
      </c>
      <c r="B102" s="2" t="s">
        <v>666</v>
      </c>
      <c r="C102" s="19" t="s">
        <v>667</v>
      </c>
      <c r="D102" s="2" t="s">
        <v>31</v>
      </c>
      <c r="E102" s="6" t="s">
        <v>210</v>
      </c>
      <c r="F102" s="2" t="s">
        <v>39</v>
      </c>
      <c r="G102" s="2" t="s">
        <v>21</v>
      </c>
      <c r="H102" s="2" t="s">
        <v>42</v>
      </c>
      <c r="I102" s="2" t="s">
        <v>43</v>
      </c>
      <c r="J102" s="2" t="s">
        <v>45</v>
      </c>
      <c r="K102" s="2" t="s">
        <v>46</v>
      </c>
      <c r="L102" s="2" t="s">
        <v>47</v>
      </c>
      <c r="M102" s="8" t="s">
        <v>668</v>
      </c>
    </row>
    <row r="103">
      <c r="A103" s="2" t="s">
        <v>2</v>
      </c>
      <c r="B103" s="2" t="s">
        <v>669</v>
      </c>
      <c r="C103" s="19" t="s">
        <v>670</v>
      </c>
      <c r="D103" s="2" t="s">
        <v>31</v>
      </c>
      <c r="E103" s="6" t="s">
        <v>283</v>
      </c>
      <c r="F103" s="2" t="s">
        <v>39</v>
      </c>
      <c r="G103" s="2" t="s">
        <v>21</v>
      </c>
      <c r="H103" s="2" t="s">
        <v>42</v>
      </c>
      <c r="I103" s="2" t="s">
        <v>43</v>
      </c>
      <c r="J103" s="2" t="s">
        <v>45</v>
      </c>
      <c r="K103" s="2" t="s">
        <v>46</v>
      </c>
      <c r="L103" s="2" t="s">
        <v>47</v>
      </c>
      <c r="M103" s="8" t="s">
        <v>671</v>
      </c>
    </row>
    <row r="104">
      <c r="A104" s="2" t="s">
        <v>2</v>
      </c>
      <c r="B104" s="2" t="s">
        <v>672</v>
      </c>
      <c r="C104" s="19" t="s">
        <v>673</v>
      </c>
      <c r="D104" s="2" t="s">
        <v>31</v>
      </c>
      <c r="E104" s="6" t="s">
        <v>480</v>
      </c>
      <c r="F104" s="2" t="s">
        <v>39</v>
      </c>
      <c r="G104" s="2" t="s">
        <v>21</v>
      </c>
      <c r="H104" s="2" t="s">
        <v>42</v>
      </c>
      <c r="I104" s="2" t="s">
        <v>43</v>
      </c>
      <c r="J104" s="2" t="s">
        <v>45</v>
      </c>
      <c r="K104" s="2" t="s">
        <v>46</v>
      </c>
      <c r="L104" s="2" t="s">
        <v>47</v>
      </c>
      <c r="M104" s="8" t="s">
        <v>674</v>
      </c>
    </row>
    <row r="105">
      <c r="A105" s="2" t="s">
        <v>2</v>
      </c>
      <c r="B105" s="2" t="s">
        <v>675</v>
      </c>
      <c r="C105" s="19" t="s">
        <v>676</v>
      </c>
      <c r="D105" s="2" t="s">
        <v>31</v>
      </c>
      <c r="E105" s="6" t="s">
        <v>200</v>
      </c>
      <c r="F105" s="2" t="s">
        <v>39</v>
      </c>
      <c r="G105" s="2" t="s">
        <v>21</v>
      </c>
      <c r="H105" s="2" t="s">
        <v>42</v>
      </c>
      <c r="I105" s="2" t="s">
        <v>43</v>
      </c>
      <c r="J105" s="2" t="s">
        <v>45</v>
      </c>
      <c r="K105" s="2" t="s">
        <v>46</v>
      </c>
      <c r="L105" s="2" t="s">
        <v>47</v>
      </c>
      <c r="M105" s="8" t="s">
        <v>677</v>
      </c>
    </row>
    <row r="106">
      <c r="A106" s="2" t="s">
        <v>2</v>
      </c>
      <c r="B106" s="2" t="s">
        <v>678</v>
      </c>
      <c r="C106" s="19" t="s">
        <v>679</v>
      </c>
      <c r="D106" s="2" t="s">
        <v>31</v>
      </c>
      <c r="E106" s="6" t="s">
        <v>680</v>
      </c>
      <c r="F106" s="2" t="s">
        <v>39</v>
      </c>
      <c r="G106" s="2" t="s">
        <v>21</v>
      </c>
      <c r="H106" s="2" t="s">
        <v>42</v>
      </c>
      <c r="I106" s="2" t="s">
        <v>43</v>
      </c>
      <c r="J106" s="2" t="s">
        <v>45</v>
      </c>
      <c r="K106" s="2" t="s">
        <v>46</v>
      </c>
      <c r="L106" s="2" t="s">
        <v>47</v>
      </c>
      <c r="M106" s="8" t="s">
        <v>681</v>
      </c>
    </row>
    <row r="107">
      <c r="A107" s="2" t="s">
        <v>2</v>
      </c>
      <c r="B107" s="2" t="s">
        <v>682</v>
      </c>
      <c r="C107" s="19" t="s">
        <v>683</v>
      </c>
      <c r="D107" s="2" t="s">
        <v>31</v>
      </c>
      <c r="E107" s="6" t="s">
        <v>367</v>
      </c>
      <c r="F107" s="2" t="s">
        <v>39</v>
      </c>
      <c r="G107" s="2" t="s">
        <v>21</v>
      </c>
      <c r="H107" s="2" t="s">
        <v>42</v>
      </c>
      <c r="I107" s="2" t="s">
        <v>43</v>
      </c>
      <c r="J107" s="2" t="s">
        <v>45</v>
      </c>
      <c r="K107" s="2" t="s">
        <v>46</v>
      </c>
      <c r="L107" s="2" t="s">
        <v>47</v>
      </c>
      <c r="M107" s="8" t="s">
        <v>684</v>
      </c>
    </row>
    <row r="108">
      <c r="A108" s="2" t="s">
        <v>2</v>
      </c>
      <c r="B108" s="2" t="s">
        <v>685</v>
      </c>
      <c r="C108" s="19" t="s">
        <v>686</v>
      </c>
      <c r="D108" s="2" t="s">
        <v>31</v>
      </c>
      <c r="E108" s="6" t="s">
        <v>464</v>
      </c>
      <c r="F108" s="2" t="s">
        <v>39</v>
      </c>
      <c r="G108" s="2" t="s">
        <v>21</v>
      </c>
      <c r="H108" s="2" t="s">
        <v>42</v>
      </c>
      <c r="I108" s="2" t="s">
        <v>43</v>
      </c>
      <c r="J108" s="2" t="s">
        <v>45</v>
      </c>
      <c r="K108" s="2" t="s">
        <v>46</v>
      </c>
      <c r="L108" s="2" t="s">
        <v>47</v>
      </c>
      <c r="M108" s="8" t="s">
        <v>687</v>
      </c>
    </row>
    <row r="109">
      <c r="A109" s="2" t="s">
        <v>2</v>
      </c>
      <c r="B109" s="2" t="s">
        <v>688</v>
      </c>
      <c r="C109" s="19" t="s">
        <v>689</v>
      </c>
      <c r="D109" s="2" t="s">
        <v>31</v>
      </c>
      <c r="E109" s="6" t="s">
        <v>429</v>
      </c>
      <c r="F109" s="2" t="s">
        <v>39</v>
      </c>
      <c r="G109" s="2" t="s">
        <v>21</v>
      </c>
      <c r="H109" s="2" t="s">
        <v>42</v>
      </c>
      <c r="I109" s="2" t="s">
        <v>43</v>
      </c>
      <c r="J109" s="2" t="s">
        <v>45</v>
      </c>
      <c r="K109" s="2" t="s">
        <v>46</v>
      </c>
      <c r="L109" s="2" t="s">
        <v>47</v>
      </c>
      <c r="M109" s="8" t="s">
        <v>690</v>
      </c>
    </row>
    <row r="110">
      <c r="A110" s="2" t="s">
        <v>2</v>
      </c>
      <c r="B110" s="2" t="s">
        <v>691</v>
      </c>
      <c r="C110" s="19" t="s">
        <v>692</v>
      </c>
      <c r="D110" s="2" t="s">
        <v>31</v>
      </c>
      <c r="E110" s="6" t="s">
        <v>372</v>
      </c>
      <c r="F110" s="2" t="s">
        <v>39</v>
      </c>
      <c r="G110" s="2" t="s">
        <v>21</v>
      </c>
      <c r="H110" s="2" t="s">
        <v>42</v>
      </c>
      <c r="I110" s="2" t="s">
        <v>43</v>
      </c>
      <c r="J110" s="2" t="s">
        <v>45</v>
      </c>
      <c r="K110" s="2" t="s">
        <v>46</v>
      </c>
      <c r="L110" s="2" t="s">
        <v>47</v>
      </c>
      <c r="M110" s="8" t="s">
        <v>693</v>
      </c>
    </row>
    <row r="111">
      <c r="A111" s="2" t="s">
        <v>2</v>
      </c>
      <c r="B111" s="2" t="s">
        <v>694</v>
      </c>
      <c r="C111" s="19" t="s">
        <v>695</v>
      </c>
      <c r="D111" s="2" t="s">
        <v>31</v>
      </c>
      <c r="E111" s="6" t="s">
        <v>401</v>
      </c>
      <c r="F111" s="2" t="s">
        <v>39</v>
      </c>
      <c r="G111" s="2" t="s">
        <v>21</v>
      </c>
      <c r="H111" s="2" t="s">
        <v>42</v>
      </c>
      <c r="I111" s="2" t="s">
        <v>43</v>
      </c>
      <c r="J111" s="2" t="s">
        <v>45</v>
      </c>
      <c r="K111" s="2" t="s">
        <v>46</v>
      </c>
      <c r="L111" s="2" t="s">
        <v>47</v>
      </c>
      <c r="M111" s="8" t="s">
        <v>696</v>
      </c>
    </row>
    <row r="112">
      <c r="A112" s="2" t="s">
        <v>2</v>
      </c>
      <c r="B112" s="2" t="s">
        <v>697</v>
      </c>
      <c r="C112" s="19" t="s">
        <v>698</v>
      </c>
      <c r="D112" s="2" t="s">
        <v>31</v>
      </c>
      <c r="E112" s="6" t="s">
        <v>699</v>
      </c>
      <c r="F112" s="2" t="s">
        <v>39</v>
      </c>
      <c r="G112" s="2" t="s">
        <v>21</v>
      </c>
      <c r="H112" s="2" t="s">
        <v>42</v>
      </c>
      <c r="I112" s="2" t="s">
        <v>43</v>
      </c>
      <c r="J112" s="2" t="s">
        <v>45</v>
      </c>
      <c r="K112" s="2" t="s">
        <v>46</v>
      </c>
      <c r="L112" s="2" t="s">
        <v>47</v>
      </c>
      <c r="M112" s="8" t="s">
        <v>700</v>
      </c>
    </row>
    <row r="113">
      <c r="A113" s="2" t="s">
        <v>2</v>
      </c>
      <c r="B113" s="2" t="s">
        <v>701</v>
      </c>
      <c r="C113" s="19" t="s">
        <v>702</v>
      </c>
      <c r="D113" s="2" t="s">
        <v>31</v>
      </c>
      <c r="E113" s="6" t="s">
        <v>457</v>
      </c>
      <c r="F113" s="2" t="s">
        <v>39</v>
      </c>
      <c r="G113" s="2" t="s">
        <v>21</v>
      </c>
      <c r="H113" s="2" t="s">
        <v>42</v>
      </c>
      <c r="I113" s="2" t="s">
        <v>43</v>
      </c>
      <c r="J113" s="2" t="s">
        <v>45</v>
      </c>
      <c r="K113" s="2" t="s">
        <v>46</v>
      </c>
      <c r="L113" s="2" t="s">
        <v>47</v>
      </c>
      <c r="M113" s="8" t="s">
        <v>703</v>
      </c>
    </row>
    <row r="114">
      <c r="A114" s="2" t="s">
        <v>2</v>
      </c>
      <c r="B114" s="2" t="s">
        <v>704</v>
      </c>
      <c r="C114" s="19" t="s">
        <v>705</v>
      </c>
      <c r="D114" s="2" t="s">
        <v>31</v>
      </c>
      <c r="E114" s="6" t="s">
        <v>706</v>
      </c>
      <c r="F114" s="2" t="s">
        <v>39</v>
      </c>
      <c r="G114" s="2" t="s">
        <v>21</v>
      </c>
      <c r="H114" s="2" t="s">
        <v>42</v>
      </c>
      <c r="I114" s="2" t="s">
        <v>43</v>
      </c>
      <c r="J114" s="2" t="s">
        <v>45</v>
      </c>
      <c r="K114" s="2" t="s">
        <v>46</v>
      </c>
      <c r="L114" s="2" t="s">
        <v>47</v>
      </c>
      <c r="M114" s="8" t="s">
        <v>707</v>
      </c>
    </row>
    <row r="115">
      <c r="A115" s="2" t="s">
        <v>2</v>
      </c>
      <c r="B115" s="2" t="s">
        <v>708</v>
      </c>
      <c r="C115" s="19" t="s">
        <v>709</v>
      </c>
      <c r="D115" s="2" t="s">
        <v>31</v>
      </c>
      <c r="E115" s="6" t="s">
        <v>341</v>
      </c>
      <c r="F115" s="2" t="s">
        <v>39</v>
      </c>
      <c r="G115" s="2" t="s">
        <v>21</v>
      </c>
      <c r="H115" s="2" t="s">
        <v>42</v>
      </c>
      <c r="I115" s="2" t="s">
        <v>43</v>
      </c>
      <c r="J115" s="2" t="s">
        <v>45</v>
      </c>
      <c r="K115" s="2" t="s">
        <v>46</v>
      </c>
      <c r="L115" s="2" t="s">
        <v>47</v>
      </c>
      <c r="M115" s="8" t="s">
        <v>710</v>
      </c>
    </row>
    <row r="116">
      <c r="A116" s="2" t="s">
        <v>2</v>
      </c>
      <c r="B116" s="2" t="s">
        <v>711</v>
      </c>
      <c r="C116" s="19" t="s">
        <v>712</v>
      </c>
      <c r="D116" s="2" t="s">
        <v>31</v>
      </c>
      <c r="E116" s="6" t="s">
        <v>178</v>
      </c>
      <c r="F116" s="2" t="s">
        <v>39</v>
      </c>
      <c r="G116" s="2" t="s">
        <v>21</v>
      </c>
      <c r="H116" s="2" t="s">
        <v>42</v>
      </c>
      <c r="I116" s="2" t="s">
        <v>43</v>
      </c>
      <c r="J116" s="2" t="s">
        <v>45</v>
      </c>
      <c r="K116" s="2" t="s">
        <v>46</v>
      </c>
      <c r="L116" s="2" t="s">
        <v>47</v>
      </c>
      <c r="M116" s="8" t="s">
        <v>713</v>
      </c>
    </row>
    <row r="117">
      <c r="A117" s="2" t="s">
        <v>2</v>
      </c>
      <c r="B117" s="2" t="s">
        <v>714</v>
      </c>
      <c r="C117" s="19" t="s">
        <v>715</v>
      </c>
      <c r="D117" s="2" t="s">
        <v>31</v>
      </c>
      <c r="E117" s="6" t="s">
        <v>184</v>
      </c>
      <c r="F117" s="2" t="s">
        <v>39</v>
      </c>
      <c r="G117" s="2" t="s">
        <v>21</v>
      </c>
      <c r="H117" s="2" t="s">
        <v>42</v>
      </c>
      <c r="I117" s="2" t="s">
        <v>43</v>
      </c>
      <c r="J117" s="2" t="s">
        <v>45</v>
      </c>
      <c r="K117" s="2" t="s">
        <v>46</v>
      </c>
      <c r="L117" s="2" t="s">
        <v>47</v>
      </c>
      <c r="M117" s="8" t="s">
        <v>716</v>
      </c>
    </row>
    <row r="118">
      <c r="A118" s="2" t="s">
        <v>2</v>
      </c>
      <c r="B118" s="2" t="s">
        <v>717</v>
      </c>
      <c r="C118" s="19" t="s">
        <v>718</v>
      </c>
      <c r="D118" s="2" t="s">
        <v>31</v>
      </c>
      <c r="E118" s="6" t="s">
        <v>86</v>
      </c>
      <c r="F118" s="2" t="s">
        <v>39</v>
      </c>
      <c r="G118" s="2" t="s">
        <v>21</v>
      </c>
      <c r="H118" s="2" t="s">
        <v>42</v>
      </c>
      <c r="I118" s="2" t="s">
        <v>43</v>
      </c>
      <c r="J118" s="2" t="s">
        <v>45</v>
      </c>
      <c r="K118" s="2" t="s">
        <v>46</v>
      </c>
      <c r="L118" s="2" t="s">
        <v>47</v>
      </c>
      <c r="M118" s="8" t="s">
        <v>719</v>
      </c>
    </row>
    <row r="119">
      <c r="A119" s="2" t="s">
        <v>2</v>
      </c>
      <c r="B119" s="2" t="s">
        <v>720</v>
      </c>
      <c r="C119" s="19" t="s">
        <v>721</v>
      </c>
      <c r="D119" s="2" t="s">
        <v>31</v>
      </c>
      <c r="E119" s="6" t="s">
        <v>56</v>
      </c>
      <c r="F119" s="2" t="s">
        <v>39</v>
      </c>
      <c r="G119" s="2" t="s">
        <v>21</v>
      </c>
      <c r="H119" s="2" t="s">
        <v>42</v>
      </c>
      <c r="I119" s="2" t="s">
        <v>43</v>
      </c>
      <c r="J119" s="2" t="s">
        <v>45</v>
      </c>
      <c r="K119" s="2" t="s">
        <v>46</v>
      </c>
      <c r="L119" s="2" t="s">
        <v>47</v>
      </c>
      <c r="M119" s="8" t="s">
        <v>722</v>
      </c>
    </row>
    <row r="120">
      <c r="A120" s="2" t="s">
        <v>2</v>
      </c>
      <c r="B120" s="2" t="s">
        <v>724</v>
      </c>
      <c r="C120" s="19" t="s">
        <v>725</v>
      </c>
      <c r="D120" s="2" t="s">
        <v>31</v>
      </c>
      <c r="E120" s="6" t="s">
        <v>63</v>
      </c>
      <c r="F120" s="2" t="s">
        <v>39</v>
      </c>
      <c r="G120" s="2" t="s">
        <v>21</v>
      </c>
      <c r="H120" s="2" t="s">
        <v>42</v>
      </c>
      <c r="I120" s="2" t="s">
        <v>43</v>
      </c>
      <c r="J120" s="2" t="s">
        <v>45</v>
      </c>
      <c r="K120" s="2" t="s">
        <v>46</v>
      </c>
      <c r="L120" s="2" t="s">
        <v>47</v>
      </c>
      <c r="M120" s="8" t="s">
        <v>733</v>
      </c>
    </row>
    <row r="121">
      <c r="A121" s="2" t="s">
        <v>2</v>
      </c>
      <c r="B121" s="2" t="s">
        <v>735</v>
      </c>
      <c r="C121" s="19" t="s">
        <v>736</v>
      </c>
      <c r="D121" s="2" t="s">
        <v>31</v>
      </c>
      <c r="E121" s="6" t="s">
        <v>69</v>
      </c>
      <c r="F121" s="2" t="s">
        <v>39</v>
      </c>
      <c r="G121" s="2" t="s">
        <v>21</v>
      </c>
      <c r="H121" s="2" t="s">
        <v>42</v>
      </c>
      <c r="I121" s="2" t="s">
        <v>43</v>
      </c>
      <c r="J121" s="2" t="s">
        <v>45</v>
      </c>
      <c r="K121" s="2" t="s">
        <v>46</v>
      </c>
      <c r="L121" s="2" t="s">
        <v>47</v>
      </c>
      <c r="M121" s="8" t="s">
        <v>737</v>
      </c>
    </row>
    <row r="122">
      <c r="A122" s="2" t="s">
        <v>2</v>
      </c>
      <c r="B122" s="2" t="s">
        <v>738</v>
      </c>
      <c r="C122" s="19" t="s">
        <v>739</v>
      </c>
      <c r="D122" s="2" t="s">
        <v>31</v>
      </c>
      <c r="E122" s="6" t="s">
        <v>740</v>
      </c>
      <c r="F122" s="2" t="s">
        <v>39</v>
      </c>
      <c r="G122" s="2" t="s">
        <v>21</v>
      </c>
      <c r="H122" s="2" t="s">
        <v>42</v>
      </c>
      <c r="I122" s="2" t="s">
        <v>43</v>
      </c>
      <c r="J122" s="2" t="s">
        <v>45</v>
      </c>
      <c r="K122" s="2" t="s">
        <v>46</v>
      </c>
      <c r="L122" s="2" t="s">
        <v>47</v>
      </c>
      <c r="M122" s="8" t="s">
        <v>741</v>
      </c>
    </row>
    <row r="123">
      <c r="A123" s="2" t="s">
        <v>2</v>
      </c>
      <c r="B123" s="2" t="s">
        <v>742</v>
      </c>
      <c r="C123" s="19" t="s">
        <v>743</v>
      </c>
      <c r="D123" s="2" t="s">
        <v>31</v>
      </c>
      <c r="E123" s="6" t="s">
        <v>92</v>
      </c>
      <c r="F123" s="2" t="s">
        <v>39</v>
      </c>
      <c r="G123" s="2" t="s">
        <v>21</v>
      </c>
      <c r="H123" s="2" t="s">
        <v>42</v>
      </c>
      <c r="I123" s="2" t="s">
        <v>43</v>
      </c>
      <c r="J123" s="2" t="s">
        <v>45</v>
      </c>
      <c r="K123" s="2" t="s">
        <v>46</v>
      </c>
      <c r="L123" s="2" t="s">
        <v>47</v>
      </c>
      <c r="M123" s="8" t="s">
        <v>744</v>
      </c>
    </row>
    <row r="124">
      <c r="A124" s="2" t="s">
        <v>2</v>
      </c>
      <c r="B124" s="2" t="s">
        <v>745</v>
      </c>
      <c r="C124" s="19" t="s">
        <v>746</v>
      </c>
      <c r="D124" s="2" t="s">
        <v>31</v>
      </c>
      <c r="E124" s="6" t="s">
        <v>747</v>
      </c>
      <c r="F124" s="2" t="s">
        <v>39</v>
      </c>
      <c r="G124" s="2" t="s">
        <v>21</v>
      </c>
      <c r="H124" s="2" t="s">
        <v>42</v>
      </c>
      <c r="I124" s="2" t="s">
        <v>43</v>
      </c>
      <c r="J124" s="2" t="s">
        <v>45</v>
      </c>
      <c r="K124" s="2" t="s">
        <v>46</v>
      </c>
      <c r="L124" s="2" t="s">
        <v>47</v>
      </c>
      <c r="M124" s="8" t="s">
        <v>748</v>
      </c>
    </row>
    <row r="125">
      <c r="A125" s="2" t="s">
        <v>2</v>
      </c>
      <c r="B125" s="2" t="s">
        <v>749</v>
      </c>
      <c r="C125" s="19" t="s">
        <v>750</v>
      </c>
      <c r="D125" s="2" t="s">
        <v>31</v>
      </c>
      <c r="E125" s="6" t="s">
        <v>251</v>
      </c>
      <c r="F125" s="2" t="s">
        <v>39</v>
      </c>
      <c r="G125" s="2" t="s">
        <v>21</v>
      </c>
      <c r="H125" s="2" t="s">
        <v>42</v>
      </c>
      <c r="I125" s="2" t="s">
        <v>43</v>
      </c>
      <c r="J125" s="2" t="s">
        <v>45</v>
      </c>
      <c r="K125" s="2" t="s">
        <v>46</v>
      </c>
      <c r="L125" s="2" t="s">
        <v>47</v>
      </c>
      <c r="M125" s="8" t="s">
        <v>751</v>
      </c>
    </row>
    <row r="126">
      <c r="A126" s="2" t="s">
        <v>2</v>
      </c>
      <c r="B126" s="2" t="s">
        <v>752</v>
      </c>
      <c r="C126" s="19" t="s">
        <v>753</v>
      </c>
      <c r="D126" s="2" t="s">
        <v>31</v>
      </c>
      <c r="E126" s="6" t="s">
        <v>240</v>
      </c>
      <c r="F126" s="2" t="s">
        <v>39</v>
      </c>
      <c r="G126" s="2" t="s">
        <v>21</v>
      </c>
      <c r="H126" s="2" t="s">
        <v>42</v>
      </c>
      <c r="I126" s="2" t="s">
        <v>43</v>
      </c>
      <c r="J126" s="2" t="s">
        <v>45</v>
      </c>
      <c r="K126" s="2" t="s">
        <v>46</v>
      </c>
      <c r="L126" s="2" t="s">
        <v>47</v>
      </c>
      <c r="M126" s="8" t="s">
        <v>754</v>
      </c>
    </row>
    <row r="127">
      <c r="A127" s="2" t="s">
        <v>2</v>
      </c>
      <c r="B127" s="2" t="s">
        <v>755</v>
      </c>
      <c r="C127" s="19" t="s">
        <v>756</v>
      </c>
      <c r="D127" s="2" t="s">
        <v>31</v>
      </c>
      <c r="E127" s="6" t="s">
        <v>233</v>
      </c>
      <c r="F127" s="2" t="s">
        <v>39</v>
      </c>
      <c r="G127" s="2" t="s">
        <v>21</v>
      </c>
      <c r="H127" s="2" t="s">
        <v>42</v>
      </c>
      <c r="I127" s="2" t="s">
        <v>43</v>
      </c>
      <c r="J127" s="2" t="s">
        <v>45</v>
      </c>
      <c r="K127" s="2" t="s">
        <v>46</v>
      </c>
      <c r="L127" s="2" t="s">
        <v>47</v>
      </c>
      <c r="M127" s="8" t="s">
        <v>757</v>
      </c>
    </row>
    <row r="128">
      <c r="A128" s="2" t="s">
        <v>2</v>
      </c>
      <c r="B128" s="2" t="s">
        <v>758</v>
      </c>
      <c r="C128" s="19" t="s">
        <v>759</v>
      </c>
      <c r="D128" s="2" t="s">
        <v>31</v>
      </c>
      <c r="E128" s="6" t="s">
        <v>113</v>
      </c>
      <c r="F128" s="2" t="s">
        <v>39</v>
      </c>
      <c r="G128" s="2" t="s">
        <v>21</v>
      </c>
      <c r="H128" s="2" t="s">
        <v>42</v>
      </c>
      <c r="I128" s="2" t="s">
        <v>43</v>
      </c>
      <c r="J128" s="2" t="s">
        <v>45</v>
      </c>
      <c r="K128" s="2" t="s">
        <v>46</v>
      </c>
      <c r="L128" s="2" t="s">
        <v>47</v>
      </c>
      <c r="M128" s="8" t="s">
        <v>760</v>
      </c>
    </row>
    <row r="129">
      <c r="A129" s="2" t="s">
        <v>2</v>
      </c>
      <c r="B129" s="2" t="s">
        <v>761</v>
      </c>
      <c r="C129" s="19" t="s">
        <v>762</v>
      </c>
      <c r="D129" s="2" t="s">
        <v>31</v>
      </c>
      <c r="E129" s="6" t="s">
        <v>238</v>
      </c>
      <c r="F129" s="2" t="s">
        <v>39</v>
      </c>
      <c r="G129" s="2" t="s">
        <v>21</v>
      </c>
      <c r="H129" s="2" t="s">
        <v>42</v>
      </c>
      <c r="I129" s="2" t="s">
        <v>43</v>
      </c>
      <c r="J129" s="2" t="s">
        <v>45</v>
      </c>
      <c r="K129" s="2" t="s">
        <v>46</v>
      </c>
      <c r="L129" s="2" t="s">
        <v>47</v>
      </c>
      <c r="M129" s="8" t="s">
        <v>763</v>
      </c>
    </row>
    <row r="130">
      <c r="A130" s="2" t="s">
        <v>2</v>
      </c>
      <c r="B130" s="2" t="s">
        <v>764</v>
      </c>
      <c r="C130" s="19" t="s">
        <v>765</v>
      </c>
      <c r="D130" s="2" t="s">
        <v>31</v>
      </c>
      <c r="E130" s="6" t="s">
        <v>351</v>
      </c>
      <c r="F130" s="2" t="s">
        <v>39</v>
      </c>
      <c r="G130" s="2" t="s">
        <v>21</v>
      </c>
      <c r="H130" s="2" t="s">
        <v>42</v>
      </c>
      <c r="I130" s="2" t="s">
        <v>43</v>
      </c>
      <c r="J130" s="2" t="s">
        <v>45</v>
      </c>
      <c r="K130" s="2" t="s">
        <v>46</v>
      </c>
      <c r="L130" s="2" t="s">
        <v>47</v>
      </c>
      <c r="M130" s="8" t="s">
        <v>766</v>
      </c>
    </row>
    <row r="131">
      <c r="A131" s="2" t="s">
        <v>2</v>
      </c>
      <c r="B131" s="2" t="s">
        <v>767</v>
      </c>
      <c r="C131" s="19" t="s">
        <v>768</v>
      </c>
      <c r="D131" s="2" t="s">
        <v>31</v>
      </c>
      <c r="E131" s="6" t="s">
        <v>130</v>
      </c>
      <c r="F131" s="2" t="s">
        <v>39</v>
      </c>
      <c r="G131" s="2" t="s">
        <v>21</v>
      </c>
      <c r="H131" s="2" t="s">
        <v>42</v>
      </c>
      <c r="I131" s="2" t="s">
        <v>43</v>
      </c>
      <c r="J131" s="2" t="s">
        <v>45</v>
      </c>
      <c r="K131" s="2" t="s">
        <v>46</v>
      </c>
      <c r="L131" s="2" t="s">
        <v>47</v>
      </c>
      <c r="M131" s="8" t="s">
        <v>769</v>
      </c>
    </row>
    <row r="132">
      <c r="A132" s="2" t="s">
        <v>2</v>
      </c>
      <c r="B132" s="2" t="s">
        <v>770</v>
      </c>
      <c r="C132" s="19" t="s">
        <v>771</v>
      </c>
      <c r="D132" s="2" t="s">
        <v>31</v>
      </c>
      <c r="E132" s="6" t="s">
        <v>357</v>
      </c>
      <c r="F132" s="2" t="s">
        <v>39</v>
      </c>
      <c r="G132" s="2" t="s">
        <v>21</v>
      </c>
      <c r="H132" s="2" t="s">
        <v>42</v>
      </c>
      <c r="I132" s="2" t="s">
        <v>43</v>
      </c>
      <c r="J132" s="2" t="s">
        <v>45</v>
      </c>
      <c r="K132" s="2" t="s">
        <v>46</v>
      </c>
      <c r="L132" s="2" t="s">
        <v>47</v>
      </c>
      <c r="M132" s="8" t="s">
        <v>772</v>
      </c>
    </row>
    <row r="133">
      <c r="A133" s="2" t="s">
        <v>2</v>
      </c>
      <c r="B133" s="2" t="s">
        <v>773</v>
      </c>
      <c r="C133" s="19" t="s">
        <v>774</v>
      </c>
      <c r="D133" s="2" t="s">
        <v>31</v>
      </c>
      <c r="E133" s="2" t="s">
        <v>279</v>
      </c>
      <c r="F133" s="2" t="s">
        <v>39</v>
      </c>
      <c r="G133" s="2" t="s">
        <v>21</v>
      </c>
      <c r="H133" s="2" t="s">
        <v>42</v>
      </c>
      <c r="I133" s="2" t="s">
        <v>43</v>
      </c>
      <c r="J133" s="2" t="s">
        <v>45</v>
      </c>
      <c r="K133" s="2" t="s">
        <v>46</v>
      </c>
      <c r="L133" s="2" t="s">
        <v>47</v>
      </c>
      <c r="M133" s="8" t="s">
        <v>775</v>
      </c>
    </row>
    <row r="134">
      <c r="A134" s="2" t="s">
        <v>2</v>
      </c>
      <c r="B134" s="2" t="s">
        <v>776</v>
      </c>
      <c r="C134" s="19" t="s">
        <v>777</v>
      </c>
      <c r="D134" s="2" t="s">
        <v>31</v>
      </c>
      <c r="E134" s="6" t="s">
        <v>181</v>
      </c>
      <c r="F134" s="2" t="s">
        <v>39</v>
      </c>
      <c r="G134" s="2" t="s">
        <v>21</v>
      </c>
      <c r="H134" s="2" t="s">
        <v>42</v>
      </c>
      <c r="I134" s="2" t="s">
        <v>43</v>
      </c>
      <c r="J134" s="2" t="s">
        <v>45</v>
      </c>
      <c r="K134" s="2" t="s">
        <v>46</v>
      </c>
      <c r="L134" s="2" t="s">
        <v>47</v>
      </c>
      <c r="M134" s="8" t="s">
        <v>778</v>
      </c>
    </row>
    <row r="135">
      <c r="A135" s="2" t="s">
        <v>2</v>
      </c>
      <c r="B135" s="2" t="s">
        <v>779</v>
      </c>
      <c r="C135" s="19" t="s">
        <v>780</v>
      </c>
      <c r="D135" s="2" t="s">
        <v>31</v>
      </c>
      <c r="E135" s="6" t="s">
        <v>781</v>
      </c>
      <c r="F135" s="2" t="s">
        <v>39</v>
      </c>
      <c r="G135" s="2" t="s">
        <v>21</v>
      </c>
      <c r="H135" s="2" t="s">
        <v>42</v>
      </c>
      <c r="I135" s="2" t="s">
        <v>43</v>
      </c>
      <c r="J135" s="2" t="s">
        <v>45</v>
      </c>
      <c r="K135" s="2" t="s">
        <v>46</v>
      </c>
      <c r="L135" s="2" t="s">
        <v>47</v>
      </c>
      <c r="M135" s="8" t="s">
        <v>782</v>
      </c>
    </row>
    <row r="136">
      <c r="A136" s="2" t="s">
        <v>2</v>
      </c>
      <c r="B136" s="2" t="s">
        <v>783</v>
      </c>
      <c r="C136" s="19" t="s">
        <v>784</v>
      </c>
      <c r="D136" s="2" t="s">
        <v>31</v>
      </c>
      <c r="E136" s="6" t="s">
        <v>785</v>
      </c>
      <c r="F136" s="2" t="s">
        <v>39</v>
      </c>
      <c r="G136" s="2" t="s">
        <v>21</v>
      </c>
      <c r="H136" s="2" t="s">
        <v>42</v>
      </c>
      <c r="I136" s="2" t="s">
        <v>43</v>
      </c>
      <c r="J136" s="2" t="s">
        <v>45</v>
      </c>
      <c r="K136" s="2" t="s">
        <v>46</v>
      </c>
      <c r="L136" s="2" t="s">
        <v>47</v>
      </c>
      <c r="M136" s="8" t="s">
        <v>786</v>
      </c>
    </row>
    <row r="137">
      <c r="A137" s="2" t="s">
        <v>2</v>
      </c>
      <c r="B137" s="2" t="s">
        <v>787</v>
      </c>
      <c r="C137" s="19" t="s">
        <v>788</v>
      </c>
      <c r="D137" s="2" t="s">
        <v>31</v>
      </c>
      <c r="E137" s="6" t="s">
        <v>311</v>
      </c>
      <c r="F137" s="2" t="s">
        <v>39</v>
      </c>
      <c r="G137" s="2" t="s">
        <v>21</v>
      </c>
      <c r="H137" s="2" t="s">
        <v>42</v>
      </c>
      <c r="I137" s="2" t="s">
        <v>43</v>
      </c>
      <c r="J137" s="2" t="s">
        <v>45</v>
      </c>
      <c r="K137" s="2" t="s">
        <v>46</v>
      </c>
      <c r="L137" s="2" t="s">
        <v>47</v>
      </c>
      <c r="M137" s="8" t="s">
        <v>789</v>
      </c>
    </row>
    <row r="138">
      <c r="A138" s="2" t="s">
        <v>2</v>
      </c>
      <c r="B138" s="2" t="s">
        <v>790</v>
      </c>
      <c r="C138" s="19" t="s">
        <v>791</v>
      </c>
      <c r="D138" s="2" t="s">
        <v>31</v>
      </c>
      <c r="E138" s="6" t="s">
        <v>228</v>
      </c>
      <c r="F138" s="2" t="s">
        <v>39</v>
      </c>
      <c r="G138" s="2" t="s">
        <v>21</v>
      </c>
      <c r="H138" s="2" t="s">
        <v>42</v>
      </c>
      <c r="I138" s="2" t="s">
        <v>43</v>
      </c>
      <c r="J138" s="2" t="s">
        <v>45</v>
      </c>
      <c r="K138" s="2" t="s">
        <v>46</v>
      </c>
      <c r="L138" s="2" t="s">
        <v>47</v>
      </c>
      <c r="M138" s="8" t="s">
        <v>792</v>
      </c>
    </row>
    <row r="139">
      <c r="A139" s="2" t="s">
        <v>2</v>
      </c>
      <c r="B139" s="2" t="s">
        <v>793</v>
      </c>
      <c r="C139" s="19" t="s">
        <v>794</v>
      </c>
      <c r="D139" s="2" t="s">
        <v>31</v>
      </c>
      <c r="E139" s="6" t="s">
        <v>795</v>
      </c>
      <c r="F139" s="2" t="s">
        <v>39</v>
      </c>
      <c r="G139" s="2" t="s">
        <v>21</v>
      </c>
      <c r="H139" s="2" t="s">
        <v>42</v>
      </c>
      <c r="I139" s="2" t="s">
        <v>43</v>
      </c>
      <c r="J139" s="2" t="s">
        <v>45</v>
      </c>
      <c r="K139" s="2" t="s">
        <v>46</v>
      </c>
      <c r="L139" s="2" t="s">
        <v>47</v>
      </c>
      <c r="M139" s="8" t="s">
        <v>796</v>
      </c>
    </row>
    <row r="140">
      <c r="A140" s="2" t="s">
        <v>2</v>
      </c>
      <c r="B140" s="2" t="s">
        <v>797</v>
      </c>
      <c r="C140" s="19" t="s">
        <v>798</v>
      </c>
      <c r="D140" s="2" t="s">
        <v>31</v>
      </c>
      <c r="E140" s="6" t="s">
        <v>218</v>
      </c>
      <c r="F140" s="2" t="s">
        <v>39</v>
      </c>
      <c r="G140" s="2" t="s">
        <v>21</v>
      </c>
      <c r="H140" s="2" t="s">
        <v>42</v>
      </c>
      <c r="I140" s="2" t="s">
        <v>43</v>
      </c>
      <c r="J140" s="2" t="s">
        <v>45</v>
      </c>
      <c r="K140" s="2" t="s">
        <v>46</v>
      </c>
      <c r="L140" s="2" t="s">
        <v>47</v>
      </c>
      <c r="M140" s="8" t="s">
        <v>799</v>
      </c>
    </row>
    <row r="141">
      <c r="A141" s="2" t="s">
        <v>2</v>
      </c>
      <c r="B141" s="2" t="s">
        <v>800</v>
      </c>
      <c r="C141" s="19" t="s">
        <v>801</v>
      </c>
      <c r="D141" s="2" t="s">
        <v>31</v>
      </c>
      <c r="E141" s="6" t="s">
        <v>211</v>
      </c>
      <c r="F141" s="2" t="s">
        <v>39</v>
      </c>
      <c r="G141" s="2" t="s">
        <v>21</v>
      </c>
      <c r="H141" s="2" t="s">
        <v>42</v>
      </c>
      <c r="I141" s="2" t="s">
        <v>43</v>
      </c>
      <c r="J141" s="2" t="s">
        <v>45</v>
      </c>
      <c r="K141" s="2" t="s">
        <v>46</v>
      </c>
      <c r="L141" s="2" t="s">
        <v>47</v>
      </c>
      <c r="M141" s="8" t="s">
        <v>802</v>
      </c>
    </row>
    <row r="142">
      <c r="A142" s="2" t="s">
        <v>2</v>
      </c>
      <c r="B142" s="2" t="s">
        <v>803</v>
      </c>
      <c r="C142" s="19" t="s">
        <v>804</v>
      </c>
      <c r="D142" s="2" t="s">
        <v>31</v>
      </c>
      <c r="E142" s="6" t="s">
        <v>95</v>
      </c>
      <c r="F142" s="2" t="s">
        <v>39</v>
      </c>
      <c r="G142" s="2" t="s">
        <v>21</v>
      </c>
      <c r="H142" s="2" t="s">
        <v>42</v>
      </c>
      <c r="I142" s="2" t="s">
        <v>43</v>
      </c>
      <c r="J142" s="2" t="s">
        <v>45</v>
      </c>
      <c r="K142" s="2" t="s">
        <v>46</v>
      </c>
      <c r="L142" s="2" t="s">
        <v>47</v>
      </c>
      <c r="M142" s="8" t="s">
        <v>805</v>
      </c>
    </row>
    <row r="143">
      <c r="A143" s="2" t="s">
        <v>2</v>
      </c>
      <c r="B143" s="2" t="s">
        <v>806</v>
      </c>
      <c r="C143" s="19" t="s">
        <v>807</v>
      </c>
      <c r="D143" s="2" t="s">
        <v>31</v>
      </c>
      <c r="E143" s="6" t="s">
        <v>322</v>
      </c>
      <c r="F143" s="2" t="s">
        <v>39</v>
      </c>
      <c r="G143" s="2" t="s">
        <v>21</v>
      </c>
      <c r="H143" s="2" t="s">
        <v>42</v>
      </c>
      <c r="I143" s="2" t="s">
        <v>43</v>
      </c>
      <c r="J143" s="2" t="s">
        <v>45</v>
      </c>
      <c r="K143" s="2" t="s">
        <v>46</v>
      </c>
      <c r="L143" s="2" t="s">
        <v>47</v>
      </c>
      <c r="M143" s="8" t="s">
        <v>808</v>
      </c>
    </row>
    <row r="144">
      <c r="A144" s="2" t="s">
        <v>2</v>
      </c>
      <c r="B144" s="2" t="s">
        <v>809</v>
      </c>
      <c r="C144" s="19" t="s">
        <v>810</v>
      </c>
      <c r="D144" s="2" t="s">
        <v>31</v>
      </c>
      <c r="E144" s="6" t="s">
        <v>190</v>
      </c>
      <c r="F144" s="2" t="s">
        <v>39</v>
      </c>
      <c r="G144" s="2" t="s">
        <v>21</v>
      </c>
      <c r="H144" s="2" t="s">
        <v>42</v>
      </c>
      <c r="I144" s="2" t="s">
        <v>43</v>
      </c>
      <c r="J144" s="2" t="s">
        <v>45</v>
      </c>
      <c r="K144" s="2" t="s">
        <v>46</v>
      </c>
      <c r="L144" s="2" t="s">
        <v>47</v>
      </c>
      <c r="M144" s="8" t="s">
        <v>811</v>
      </c>
    </row>
    <row r="145">
      <c r="A145" s="2" t="s">
        <v>2</v>
      </c>
      <c r="B145" s="2" t="s">
        <v>812</v>
      </c>
      <c r="C145" s="19" t="s">
        <v>813</v>
      </c>
      <c r="D145" s="2" t="s">
        <v>31</v>
      </c>
      <c r="E145" s="6" t="s">
        <v>222</v>
      </c>
      <c r="F145" s="2" t="s">
        <v>39</v>
      </c>
      <c r="G145" s="2" t="s">
        <v>21</v>
      </c>
      <c r="H145" s="2" t="s">
        <v>42</v>
      </c>
      <c r="I145" s="2" t="s">
        <v>43</v>
      </c>
      <c r="J145" s="2" t="s">
        <v>45</v>
      </c>
      <c r="K145" s="2" t="s">
        <v>46</v>
      </c>
      <c r="L145" s="2" t="s">
        <v>47</v>
      </c>
      <c r="M145" s="8" t="s">
        <v>814</v>
      </c>
    </row>
    <row r="146">
      <c r="A146" s="2" t="s">
        <v>2</v>
      </c>
      <c r="B146" s="2" t="s">
        <v>815</v>
      </c>
      <c r="C146" s="19" t="s">
        <v>816</v>
      </c>
      <c r="D146" s="2" t="s">
        <v>31</v>
      </c>
      <c r="E146" s="6" t="s">
        <v>338</v>
      </c>
      <c r="F146" s="2" t="s">
        <v>39</v>
      </c>
      <c r="G146" s="2" t="s">
        <v>21</v>
      </c>
      <c r="H146" s="2" t="s">
        <v>42</v>
      </c>
      <c r="I146" s="2" t="s">
        <v>43</v>
      </c>
      <c r="J146" s="2" t="s">
        <v>45</v>
      </c>
      <c r="K146" s="2" t="s">
        <v>46</v>
      </c>
      <c r="L146" s="2" t="s">
        <v>47</v>
      </c>
      <c r="M146" s="8" t="s">
        <v>817</v>
      </c>
    </row>
    <row r="147">
      <c r="A147" s="2" t="s">
        <v>2</v>
      </c>
      <c r="B147" s="2" t="s">
        <v>818</v>
      </c>
      <c r="C147" s="19" t="s">
        <v>819</v>
      </c>
      <c r="D147" s="2" t="s">
        <v>31</v>
      </c>
      <c r="E147" s="6" t="s">
        <v>301</v>
      </c>
      <c r="F147" s="2" t="s">
        <v>39</v>
      </c>
      <c r="G147" s="2" t="s">
        <v>21</v>
      </c>
      <c r="H147" s="2" t="s">
        <v>42</v>
      </c>
      <c r="I147" s="2" t="s">
        <v>43</v>
      </c>
      <c r="J147" s="2" t="s">
        <v>45</v>
      </c>
      <c r="K147" s="2" t="s">
        <v>46</v>
      </c>
      <c r="L147" s="2" t="s">
        <v>47</v>
      </c>
      <c r="M147" s="8" t="s">
        <v>820</v>
      </c>
    </row>
    <row r="148">
      <c r="A148" s="2" t="s">
        <v>2</v>
      </c>
      <c r="B148" s="2" t="s">
        <v>821</v>
      </c>
      <c r="C148" s="19" t="s">
        <v>822</v>
      </c>
      <c r="D148" s="2" t="s">
        <v>34</v>
      </c>
      <c r="E148" s="6" t="s">
        <v>823</v>
      </c>
      <c r="F148" s="2" t="s">
        <v>39</v>
      </c>
      <c r="G148" s="2" t="s">
        <v>21</v>
      </c>
      <c r="H148" s="2" t="s">
        <v>42</v>
      </c>
      <c r="I148" s="2" t="s">
        <v>43</v>
      </c>
      <c r="J148" s="2" t="s">
        <v>45</v>
      </c>
      <c r="K148" s="2" t="s">
        <v>46</v>
      </c>
      <c r="L148" s="2" t="s">
        <v>47</v>
      </c>
      <c r="M148" s="8" t="s">
        <v>824</v>
      </c>
    </row>
    <row r="149">
      <c r="A149" s="2" t="s">
        <v>2</v>
      </c>
      <c r="B149" s="2" t="s">
        <v>825</v>
      </c>
      <c r="C149" s="19" t="s">
        <v>826</v>
      </c>
      <c r="D149" s="2" t="s">
        <v>31</v>
      </c>
      <c r="E149" s="6" t="s">
        <v>161</v>
      </c>
      <c r="F149" s="2" t="s">
        <v>39</v>
      </c>
      <c r="G149" s="2" t="s">
        <v>21</v>
      </c>
      <c r="H149" s="2" t="s">
        <v>42</v>
      </c>
      <c r="I149" s="2" t="s">
        <v>43</v>
      </c>
      <c r="J149" s="2" t="s">
        <v>45</v>
      </c>
      <c r="K149" s="2" t="s">
        <v>46</v>
      </c>
      <c r="L149" s="2" t="s">
        <v>47</v>
      </c>
      <c r="M149" s="8" t="s">
        <v>827</v>
      </c>
    </row>
    <row r="150">
      <c r="A150" s="2" t="s">
        <v>2</v>
      </c>
      <c r="B150" s="2" t="s">
        <v>828</v>
      </c>
      <c r="C150" s="19" t="s">
        <v>829</v>
      </c>
      <c r="D150" s="2" t="s">
        <v>31</v>
      </c>
      <c r="E150" s="6" t="s">
        <v>101</v>
      </c>
      <c r="F150" s="2" t="s">
        <v>39</v>
      </c>
      <c r="G150" s="2" t="s">
        <v>21</v>
      </c>
      <c r="H150" s="2" t="s">
        <v>42</v>
      </c>
      <c r="I150" s="2" t="s">
        <v>43</v>
      </c>
      <c r="J150" s="2" t="s">
        <v>45</v>
      </c>
      <c r="K150" s="2" t="s">
        <v>46</v>
      </c>
      <c r="L150" s="2" t="s">
        <v>47</v>
      </c>
      <c r="M150" s="8" t="s">
        <v>830</v>
      </c>
    </row>
    <row r="151">
      <c r="A151" s="2" t="s">
        <v>2</v>
      </c>
      <c r="B151" s="2" t="s">
        <v>831</v>
      </c>
      <c r="C151" s="19" t="s">
        <v>832</v>
      </c>
      <c r="D151" s="2" t="s">
        <v>31</v>
      </c>
      <c r="E151" s="6" t="s">
        <v>84</v>
      </c>
      <c r="F151" s="2" t="s">
        <v>39</v>
      </c>
      <c r="G151" s="2" t="s">
        <v>21</v>
      </c>
      <c r="H151" s="2" t="s">
        <v>42</v>
      </c>
      <c r="I151" s="2" t="s">
        <v>43</v>
      </c>
      <c r="J151" s="2" t="s">
        <v>45</v>
      </c>
      <c r="K151" s="2" t="s">
        <v>46</v>
      </c>
      <c r="L151" s="2" t="s">
        <v>47</v>
      </c>
      <c r="M151" s="8" t="s">
        <v>833</v>
      </c>
    </row>
    <row r="152">
      <c r="A152" s="2" t="s">
        <v>2</v>
      </c>
      <c r="B152" s="2" t="s">
        <v>834</v>
      </c>
      <c r="C152" s="19" t="s">
        <v>835</v>
      </c>
      <c r="D152" s="2" t="s">
        <v>31</v>
      </c>
      <c r="E152" s="6" t="s">
        <v>441</v>
      </c>
      <c r="F152" s="2" t="s">
        <v>39</v>
      </c>
      <c r="G152" s="2" t="s">
        <v>21</v>
      </c>
      <c r="H152" s="2" t="s">
        <v>42</v>
      </c>
      <c r="I152" s="2" t="s">
        <v>43</v>
      </c>
      <c r="J152" s="2" t="s">
        <v>45</v>
      </c>
      <c r="K152" s="2" t="s">
        <v>46</v>
      </c>
      <c r="L152" s="2" t="s">
        <v>47</v>
      </c>
      <c r="M152" s="8" t="s">
        <v>836</v>
      </c>
    </row>
    <row r="153">
      <c r="A153" s="2" t="s">
        <v>2</v>
      </c>
      <c r="B153" s="2" t="s">
        <v>837</v>
      </c>
      <c r="C153" s="19" t="s">
        <v>838</v>
      </c>
      <c r="D153" s="2" t="s">
        <v>31</v>
      </c>
      <c r="E153" s="6" t="s">
        <v>445</v>
      </c>
      <c r="F153" s="2" t="s">
        <v>39</v>
      </c>
      <c r="G153" s="2" t="s">
        <v>21</v>
      </c>
      <c r="H153" s="2" t="s">
        <v>42</v>
      </c>
      <c r="I153" s="2" t="s">
        <v>43</v>
      </c>
      <c r="J153" s="2" t="s">
        <v>45</v>
      </c>
      <c r="K153" s="2" t="s">
        <v>46</v>
      </c>
      <c r="L153" s="2" t="s">
        <v>47</v>
      </c>
      <c r="M153" s="8" t="s">
        <v>839</v>
      </c>
    </row>
    <row r="154">
      <c r="A154" s="2" t="s">
        <v>2</v>
      </c>
      <c r="B154" s="2" t="s">
        <v>840</v>
      </c>
      <c r="C154" s="19" t="s">
        <v>841</v>
      </c>
      <c r="D154" s="2" t="s">
        <v>31</v>
      </c>
      <c r="E154" s="6" t="s">
        <v>842</v>
      </c>
      <c r="F154" s="2" t="s">
        <v>39</v>
      </c>
      <c r="G154" s="2" t="s">
        <v>21</v>
      </c>
      <c r="H154" s="2" t="s">
        <v>42</v>
      </c>
      <c r="I154" s="2" t="s">
        <v>43</v>
      </c>
      <c r="J154" s="2" t="s">
        <v>45</v>
      </c>
      <c r="K154" s="2" t="s">
        <v>46</v>
      </c>
      <c r="L154" s="2" t="s">
        <v>47</v>
      </c>
      <c r="M154" s="8" t="s">
        <v>843</v>
      </c>
    </row>
    <row r="155">
      <c r="A155" s="2" t="s">
        <v>2</v>
      </c>
      <c r="B155" s="2" t="s">
        <v>844</v>
      </c>
      <c r="C155" s="19" t="s">
        <v>845</v>
      </c>
      <c r="D155" s="2" t="s">
        <v>31</v>
      </c>
      <c r="E155" s="6" t="s">
        <v>117</v>
      </c>
      <c r="F155" s="2" t="s">
        <v>39</v>
      </c>
      <c r="G155" s="2" t="s">
        <v>21</v>
      </c>
      <c r="H155" s="2" t="s">
        <v>42</v>
      </c>
      <c r="I155" s="2" t="s">
        <v>43</v>
      </c>
      <c r="J155" s="2" t="s">
        <v>45</v>
      </c>
      <c r="K155" s="2" t="s">
        <v>46</v>
      </c>
      <c r="L155" s="2" t="s">
        <v>47</v>
      </c>
      <c r="M155" s="8" t="s">
        <v>846</v>
      </c>
    </row>
    <row r="156">
      <c r="A156" s="2" t="s">
        <v>2</v>
      </c>
      <c r="B156" s="2" t="s">
        <v>847</v>
      </c>
      <c r="C156" s="8" t="s">
        <v>848</v>
      </c>
      <c r="D156" s="2" t="s">
        <v>34</v>
      </c>
      <c r="E156" s="2" t="s">
        <v>849</v>
      </c>
      <c r="F156" s="2" t="s">
        <v>39</v>
      </c>
      <c r="G156" s="2" t="s">
        <v>21</v>
      </c>
      <c r="H156" s="2" t="s">
        <v>42</v>
      </c>
      <c r="I156" s="2" t="s">
        <v>43</v>
      </c>
      <c r="J156" s="2" t="s">
        <v>45</v>
      </c>
      <c r="K156" s="2" t="s">
        <v>46</v>
      </c>
      <c r="L156" s="2" t="s">
        <v>47</v>
      </c>
      <c r="M156" s="8" t="s">
        <v>850</v>
      </c>
    </row>
    <row r="157">
      <c r="A157" s="2" t="s">
        <v>2</v>
      </c>
      <c r="B157" s="20" t="s">
        <v>851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2"/>
    </row>
    <row r="158">
      <c r="A158" s="2" t="s">
        <v>2</v>
      </c>
      <c r="B158" s="6" t="s">
        <v>852</v>
      </c>
      <c r="C158" s="8" t="s">
        <v>18</v>
      </c>
      <c r="D158" s="2" t="s">
        <v>28</v>
      </c>
      <c r="E158" s="6" t="s">
        <v>0</v>
      </c>
      <c r="F158" s="2" t="s">
        <v>39</v>
      </c>
      <c r="G158" s="2" t="s">
        <v>21</v>
      </c>
      <c r="H158" s="2" t="s">
        <v>42</v>
      </c>
      <c r="I158" s="2" t="s">
        <v>43</v>
      </c>
      <c r="J158" s="2" t="s">
        <v>45</v>
      </c>
      <c r="K158" s="2" t="s">
        <v>46</v>
      </c>
      <c r="L158" s="2" t="s">
        <v>47</v>
      </c>
      <c r="M158" s="8" t="s">
        <v>15</v>
      </c>
    </row>
    <row r="159">
      <c r="A159" s="2" t="s">
        <v>2</v>
      </c>
      <c r="B159" s="6" t="s">
        <v>853</v>
      </c>
      <c r="C159" s="8" t="s">
        <v>51</v>
      </c>
      <c r="D159" s="2" t="s">
        <v>31</v>
      </c>
      <c r="E159" s="6" t="s">
        <v>49</v>
      </c>
      <c r="F159" s="2" t="s">
        <v>39</v>
      </c>
      <c r="G159" s="2" t="s">
        <v>21</v>
      </c>
      <c r="H159" s="2" t="s">
        <v>42</v>
      </c>
      <c r="I159" s="2" t="s">
        <v>43</v>
      </c>
      <c r="J159" s="2" t="s">
        <v>45</v>
      </c>
      <c r="K159" s="2" t="s">
        <v>46</v>
      </c>
      <c r="L159" s="2" t="s">
        <v>47</v>
      </c>
      <c r="M159" s="8" t="s">
        <v>50</v>
      </c>
    </row>
    <row r="160">
      <c r="A160" s="2" t="s">
        <v>2</v>
      </c>
      <c r="B160" s="6" t="s">
        <v>854</v>
      </c>
      <c r="C160" s="8" t="s">
        <v>58</v>
      </c>
      <c r="D160" s="2" t="s">
        <v>31</v>
      </c>
      <c r="E160" s="6" t="s">
        <v>56</v>
      </c>
      <c r="F160" s="2" t="s">
        <v>39</v>
      </c>
      <c r="G160" s="2" t="s">
        <v>21</v>
      </c>
      <c r="H160" s="2" t="s">
        <v>42</v>
      </c>
      <c r="I160" s="2" t="s">
        <v>43</v>
      </c>
      <c r="J160" s="2" t="s">
        <v>45</v>
      </c>
      <c r="K160" s="2" t="s">
        <v>46</v>
      </c>
      <c r="L160" s="2" t="s">
        <v>47</v>
      </c>
      <c r="M160" s="8" t="s">
        <v>57</v>
      </c>
    </row>
    <row r="161">
      <c r="A161" s="2" t="s">
        <v>2</v>
      </c>
      <c r="B161" s="6" t="s">
        <v>855</v>
      </c>
      <c r="C161" s="8" t="s">
        <v>65</v>
      </c>
      <c r="D161" s="2" t="s">
        <v>31</v>
      </c>
      <c r="E161" s="6" t="s">
        <v>63</v>
      </c>
      <c r="F161" s="2" t="s">
        <v>39</v>
      </c>
      <c r="G161" s="2" t="s">
        <v>21</v>
      </c>
      <c r="H161" s="2" t="s">
        <v>42</v>
      </c>
      <c r="I161" s="2" t="s">
        <v>43</v>
      </c>
      <c r="J161" s="2" t="s">
        <v>45</v>
      </c>
      <c r="K161" s="2" t="s">
        <v>46</v>
      </c>
      <c r="L161" s="2" t="s">
        <v>47</v>
      </c>
      <c r="M161" s="8" t="s">
        <v>64</v>
      </c>
    </row>
    <row r="162">
      <c r="A162" s="2" t="s">
        <v>2</v>
      </c>
      <c r="B162" s="6" t="s">
        <v>856</v>
      </c>
      <c r="C162" s="8" t="s">
        <v>72</v>
      </c>
      <c r="D162" s="2" t="s">
        <v>31</v>
      </c>
      <c r="E162" s="6" t="s">
        <v>69</v>
      </c>
      <c r="F162" s="2" t="s">
        <v>39</v>
      </c>
      <c r="G162" s="2" t="s">
        <v>21</v>
      </c>
      <c r="H162" s="2" t="s">
        <v>42</v>
      </c>
      <c r="I162" s="2" t="s">
        <v>43</v>
      </c>
      <c r="J162" s="2" t="s">
        <v>45</v>
      </c>
      <c r="K162" s="2" t="s">
        <v>46</v>
      </c>
      <c r="L162" s="2" t="s">
        <v>47</v>
      </c>
      <c r="M162" s="8" t="s">
        <v>70</v>
      </c>
    </row>
    <row r="163">
      <c r="A163" s="2" t="s">
        <v>2</v>
      </c>
      <c r="B163" s="6" t="s">
        <v>857</v>
      </c>
      <c r="C163" s="8" t="s">
        <v>80</v>
      </c>
      <c r="D163" s="2" t="s">
        <v>31</v>
      </c>
      <c r="E163" s="6" t="s">
        <v>78</v>
      </c>
      <c r="F163" s="2" t="s">
        <v>39</v>
      </c>
      <c r="G163" s="2" t="s">
        <v>21</v>
      </c>
      <c r="H163" s="2" t="s">
        <v>42</v>
      </c>
      <c r="I163" s="2" t="s">
        <v>43</v>
      </c>
      <c r="J163" s="2" t="s">
        <v>45</v>
      </c>
      <c r="K163" s="2" t="s">
        <v>46</v>
      </c>
      <c r="L163" s="2" t="s">
        <v>47</v>
      </c>
      <c r="M163" s="8" t="s">
        <v>79</v>
      </c>
    </row>
    <row r="164">
      <c r="A164" s="2" t="s">
        <v>2</v>
      </c>
      <c r="B164" s="6" t="s">
        <v>858</v>
      </c>
      <c r="C164" s="8" t="s">
        <v>88</v>
      </c>
      <c r="D164" s="2" t="s">
        <v>31</v>
      </c>
      <c r="E164" s="6" t="s">
        <v>86</v>
      </c>
      <c r="F164" s="2" t="s">
        <v>39</v>
      </c>
      <c r="G164" s="2" t="s">
        <v>21</v>
      </c>
      <c r="H164" s="2" t="s">
        <v>42</v>
      </c>
      <c r="I164" s="2" t="s">
        <v>43</v>
      </c>
      <c r="J164" s="2" t="s">
        <v>45</v>
      </c>
      <c r="K164" s="2" t="s">
        <v>46</v>
      </c>
      <c r="L164" s="2" t="s">
        <v>47</v>
      </c>
      <c r="M164" s="8" t="s">
        <v>87</v>
      </c>
    </row>
    <row r="165">
      <c r="A165" s="2" t="s">
        <v>2</v>
      </c>
      <c r="B165" s="6" t="s">
        <v>859</v>
      </c>
      <c r="C165" s="8" t="s">
        <v>97</v>
      </c>
      <c r="D165" s="2" t="s">
        <v>31</v>
      </c>
      <c r="E165" s="6" t="s">
        <v>95</v>
      </c>
      <c r="F165" s="2" t="s">
        <v>39</v>
      </c>
      <c r="G165" s="2" t="s">
        <v>21</v>
      </c>
      <c r="H165" s="2" t="s">
        <v>42</v>
      </c>
      <c r="I165" s="2" t="s">
        <v>43</v>
      </c>
      <c r="J165" s="2" t="s">
        <v>45</v>
      </c>
      <c r="K165" s="2" t="s">
        <v>46</v>
      </c>
      <c r="L165" s="2" t="s">
        <v>47</v>
      </c>
      <c r="M165" s="8" t="s">
        <v>96</v>
      </c>
    </row>
    <row r="166">
      <c r="A166" s="2" t="s">
        <v>2</v>
      </c>
      <c r="B166" s="6" t="s">
        <v>860</v>
      </c>
      <c r="C166" s="8" t="s">
        <v>103</v>
      </c>
      <c r="D166" s="2" t="s">
        <v>31</v>
      </c>
      <c r="E166" s="6" t="s">
        <v>101</v>
      </c>
      <c r="F166" s="2" t="s">
        <v>39</v>
      </c>
      <c r="G166" s="2" t="s">
        <v>21</v>
      </c>
      <c r="H166" s="2" t="s">
        <v>42</v>
      </c>
      <c r="I166" s="2" t="s">
        <v>43</v>
      </c>
      <c r="J166" s="2" t="s">
        <v>45</v>
      </c>
      <c r="K166" s="2" t="s">
        <v>46</v>
      </c>
      <c r="L166" s="2" t="s">
        <v>47</v>
      </c>
      <c r="M166" s="8" t="s">
        <v>102</v>
      </c>
    </row>
    <row r="167">
      <c r="A167" s="2" t="s">
        <v>2</v>
      </c>
      <c r="B167" s="6" t="s">
        <v>861</v>
      </c>
      <c r="C167" s="8" t="s">
        <v>112</v>
      </c>
      <c r="D167" s="2" t="s">
        <v>31</v>
      </c>
      <c r="E167" s="6" t="s">
        <v>108</v>
      </c>
      <c r="F167" s="2" t="s">
        <v>39</v>
      </c>
      <c r="G167" s="2" t="s">
        <v>21</v>
      </c>
      <c r="H167" s="2" t="s">
        <v>42</v>
      </c>
      <c r="I167" s="2" t="s">
        <v>43</v>
      </c>
      <c r="J167" s="2" t="s">
        <v>45</v>
      </c>
      <c r="K167" s="2" t="s">
        <v>46</v>
      </c>
      <c r="L167" s="2" t="s">
        <v>47</v>
      </c>
      <c r="M167" s="8" t="s">
        <v>109</v>
      </c>
    </row>
    <row r="168">
      <c r="A168" s="2" t="s">
        <v>2</v>
      </c>
      <c r="B168" s="6" t="s">
        <v>862</v>
      </c>
      <c r="C168" s="8" t="s">
        <v>120</v>
      </c>
      <c r="D168" s="2" t="s">
        <v>31</v>
      </c>
      <c r="E168" s="6" t="s">
        <v>117</v>
      </c>
      <c r="F168" s="2" t="s">
        <v>39</v>
      </c>
      <c r="G168" s="2" t="s">
        <v>21</v>
      </c>
      <c r="H168" s="2" t="s">
        <v>42</v>
      </c>
      <c r="I168" s="2" t="s">
        <v>43</v>
      </c>
      <c r="J168" s="2" t="s">
        <v>45</v>
      </c>
      <c r="K168" s="2" t="s">
        <v>46</v>
      </c>
      <c r="L168" s="2" t="s">
        <v>47</v>
      </c>
      <c r="M168" s="8" t="s">
        <v>119</v>
      </c>
    </row>
    <row r="169">
      <c r="A169" s="2" t="s">
        <v>2</v>
      </c>
      <c r="B169" s="6" t="s">
        <v>863</v>
      </c>
      <c r="C169" s="8" t="s">
        <v>126</v>
      </c>
      <c r="D169" s="2" t="s">
        <v>31</v>
      </c>
      <c r="E169" s="6" t="s">
        <v>124</v>
      </c>
      <c r="F169" s="2" t="s">
        <v>39</v>
      </c>
      <c r="G169" s="2" t="s">
        <v>21</v>
      </c>
      <c r="H169" s="2" t="s">
        <v>42</v>
      </c>
      <c r="I169" s="2" t="s">
        <v>43</v>
      </c>
      <c r="J169" s="2" t="s">
        <v>45</v>
      </c>
      <c r="K169" s="2" t="s">
        <v>46</v>
      </c>
      <c r="L169" s="2" t="s">
        <v>47</v>
      </c>
      <c r="M169" s="8" t="s">
        <v>125</v>
      </c>
    </row>
    <row r="170">
      <c r="A170" s="2" t="s">
        <v>2</v>
      </c>
      <c r="B170" s="6" t="s">
        <v>864</v>
      </c>
      <c r="C170" s="8" t="s">
        <v>132</v>
      </c>
      <c r="D170" s="2" t="s">
        <v>31</v>
      </c>
      <c r="E170" s="6" t="s">
        <v>130</v>
      </c>
      <c r="F170" s="2" t="s">
        <v>39</v>
      </c>
      <c r="G170" s="2" t="s">
        <v>21</v>
      </c>
      <c r="H170" s="2" t="s">
        <v>42</v>
      </c>
      <c r="I170" s="2" t="s">
        <v>43</v>
      </c>
      <c r="J170" s="2" t="s">
        <v>45</v>
      </c>
      <c r="K170" s="2" t="s">
        <v>46</v>
      </c>
      <c r="L170" s="2" t="s">
        <v>47</v>
      </c>
      <c r="M170" s="8" t="s">
        <v>131</v>
      </c>
    </row>
    <row r="171">
      <c r="A171" s="2" t="s">
        <v>2</v>
      </c>
      <c r="B171" s="6" t="s">
        <v>865</v>
      </c>
      <c r="C171" s="8" t="s">
        <v>138</v>
      </c>
      <c r="D171" s="2" t="s">
        <v>31</v>
      </c>
      <c r="E171" s="6" t="s">
        <v>136</v>
      </c>
      <c r="F171" s="2" t="s">
        <v>39</v>
      </c>
      <c r="G171" s="2" t="s">
        <v>21</v>
      </c>
      <c r="H171" s="2" t="s">
        <v>42</v>
      </c>
      <c r="I171" s="2" t="s">
        <v>43</v>
      </c>
      <c r="J171" s="2" t="s">
        <v>45</v>
      </c>
      <c r="K171" s="2" t="s">
        <v>46</v>
      </c>
      <c r="L171" s="2" t="s">
        <v>47</v>
      </c>
      <c r="M171" s="8" t="s">
        <v>137</v>
      </c>
    </row>
    <row r="172">
      <c r="A172" s="2" t="s">
        <v>2</v>
      </c>
      <c r="B172" s="6" t="s">
        <v>866</v>
      </c>
      <c r="C172" s="8" t="s">
        <v>144</v>
      </c>
      <c r="D172" s="2" t="s">
        <v>31</v>
      </c>
      <c r="E172" s="6" t="s">
        <v>142</v>
      </c>
      <c r="F172" s="2" t="s">
        <v>39</v>
      </c>
      <c r="G172" s="2" t="s">
        <v>21</v>
      </c>
      <c r="H172" s="2" t="s">
        <v>42</v>
      </c>
      <c r="I172" s="2" t="s">
        <v>43</v>
      </c>
      <c r="J172" s="2" t="s">
        <v>45</v>
      </c>
      <c r="K172" s="2" t="s">
        <v>46</v>
      </c>
      <c r="L172" s="2" t="s">
        <v>47</v>
      </c>
      <c r="M172" s="8" t="s">
        <v>143</v>
      </c>
    </row>
    <row r="173">
      <c r="A173" s="2" t="s">
        <v>2</v>
      </c>
      <c r="B173" s="6" t="s">
        <v>867</v>
      </c>
      <c r="C173" s="8" t="s">
        <v>152</v>
      </c>
      <c r="D173" s="2" t="s">
        <v>31</v>
      </c>
      <c r="E173" s="6" t="s">
        <v>148</v>
      </c>
      <c r="F173" s="2" t="s">
        <v>39</v>
      </c>
      <c r="G173" s="2" t="s">
        <v>21</v>
      </c>
      <c r="H173" s="2" t="s">
        <v>42</v>
      </c>
      <c r="I173" s="2" t="s">
        <v>43</v>
      </c>
      <c r="J173" s="2" t="s">
        <v>45</v>
      </c>
      <c r="K173" s="2" t="s">
        <v>46</v>
      </c>
      <c r="L173" s="2" t="s">
        <v>47</v>
      </c>
      <c r="M173" s="8" t="s">
        <v>150</v>
      </c>
    </row>
    <row r="174">
      <c r="A174" s="2" t="s">
        <v>2</v>
      </c>
      <c r="B174" s="6" t="s">
        <v>868</v>
      </c>
      <c r="C174" s="8" t="s">
        <v>158</v>
      </c>
      <c r="D174" s="2" t="s">
        <v>31</v>
      </c>
      <c r="E174" s="6" t="s">
        <v>155</v>
      </c>
      <c r="F174" s="2" t="s">
        <v>39</v>
      </c>
      <c r="G174" s="2" t="s">
        <v>21</v>
      </c>
      <c r="H174" s="2" t="s">
        <v>42</v>
      </c>
      <c r="I174" s="2" t="s">
        <v>43</v>
      </c>
      <c r="J174" s="2" t="s">
        <v>45</v>
      </c>
      <c r="K174" s="2" t="s">
        <v>46</v>
      </c>
      <c r="L174" s="2" t="s">
        <v>47</v>
      </c>
      <c r="M174" s="8" t="s">
        <v>156</v>
      </c>
    </row>
    <row r="175">
      <c r="A175" s="2" t="s">
        <v>2</v>
      </c>
      <c r="B175" s="6" t="s">
        <v>869</v>
      </c>
      <c r="C175" s="8" t="s">
        <v>166</v>
      </c>
      <c r="D175" s="2" t="s">
        <v>31</v>
      </c>
      <c r="E175" s="6" t="s">
        <v>164</v>
      </c>
      <c r="F175" s="2" t="s">
        <v>39</v>
      </c>
      <c r="G175" s="2" t="s">
        <v>21</v>
      </c>
      <c r="H175" s="2" t="s">
        <v>42</v>
      </c>
      <c r="I175" s="2" t="s">
        <v>43</v>
      </c>
      <c r="J175" s="2" t="s">
        <v>45</v>
      </c>
      <c r="K175" s="2" t="s">
        <v>46</v>
      </c>
      <c r="L175" s="2" t="s">
        <v>47</v>
      </c>
      <c r="M175" s="8" t="s">
        <v>165</v>
      </c>
    </row>
    <row r="176">
      <c r="A176" s="2" t="s">
        <v>2</v>
      </c>
      <c r="B176" s="6" t="s">
        <v>870</v>
      </c>
      <c r="C176" s="8" t="s">
        <v>172</v>
      </c>
      <c r="D176" s="2" t="s">
        <v>31</v>
      </c>
      <c r="E176" s="6" t="s">
        <v>170</v>
      </c>
      <c r="F176" s="2" t="s">
        <v>39</v>
      </c>
      <c r="G176" s="2" t="s">
        <v>21</v>
      </c>
      <c r="H176" s="2" t="s">
        <v>42</v>
      </c>
      <c r="I176" s="2" t="s">
        <v>43</v>
      </c>
      <c r="J176" s="2" t="s">
        <v>45</v>
      </c>
      <c r="K176" s="2" t="s">
        <v>46</v>
      </c>
      <c r="L176" s="2" t="s">
        <v>47</v>
      </c>
      <c r="M176" s="8" t="s">
        <v>171</v>
      </c>
    </row>
    <row r="177">
      <c r="A177" s="2" t="s">
        <v>2</v>
      </c>
      <c r="B177" s="6" t="s">
        <v>871</v>
      </c>
      <c r="C177" s="8" t="s">
        <v>180</v>
      </c>
      <c r="D177" s="2" t="s">
        <v>31</v>
      </c>
      <c r="E177" s="6" t="s">
        <v>178</v>
      </c>
      <c r="F177" s="2" t="s">
        <v>39</v>
      </c>
      <c r="G177" s="2" t="s">
        <v>21</v>
      </c>
      <c r="H177" s="2" t="s">
        <v>42</v>
      </c>
      <c r="I177" s="2" t="s">
        <v>43</v>
      </c>
      <c r="J177" s="2" t="s">
        <v>45</v>
      </c>
      <c r="K177" s="2" t="s">
        <v>46</v>
      </c>
      <c r="L177" s="2" t="s">
        <v>47</v>
      </c>
      <c r="M177" s="8" t="s">
        <v>179</v>
      </c>
    </row>
    <row r="178">
      <c r="A178" s="2" t="s">
        <v>2</v>
      </c>
      <c r="B178" s="6" t="s">
        <v>872</v>
      </c>
      <c r="C178" s="8" t="s">
        <v>187</v>
      </c>
      <c r="D178" s="2" t="s">
        <v>31</v>
      </c>
      <c r="E178" s="6" t="s">
        <v>184</v>
      </c>
      <c r="F178" s="2" t="s">
        <v>39</v>
      </c>
      <c r="G178" s="2" t="s">
        <v>21</v>
      </c>
      <c r="H178" s="2" t="s">
        <v>42</v>
      </c>
      <c r="I178" s="2" t="s">
        <v>43</v>
      </c>
      <c r="J178" s="2" t="s">
        <v>45</v>
      </c>
      <c r="K178" s="2" t="s">
        <v>46</v>
      </c>
      <c r="L178" s="2" t="s">
        <v>47</v>
      </c>
      <c r="M178" s="8" t="s">
        <v>185</v>
      </c>
    </row>
    <row r="179">
      <c r="A179" s="2" t="s">
        <v>2</v>
      </c>
      <c r="B179" s="6" t="s">
        <v>873</v>
      </c>
      <c r="C179" s="8" t="s">
        <v>195</v>
      </c>
      <c r="D179" s="2" t="s">
        <v>31</v>
      </c>
      <c r="E179" s="6" t="s">
        <v>193</v>
      </c>
      <c r="F179" s="2" t="s">
        <v>39</v>
      </c>
      <c r="G179" s="2" t="s">
        <v>21</v>
      </c>
      <c r="H179" s="2" t="s">
        <v>42</v>
      </c>
      <c r="I179" s="2" t="s">
        <v>43</v>
      </c>
      <c r="J179" s="2" t="s">
        <v>45</v>
      </c>
      <c r="K179" s="2" t="s">
        <v>46</v>
      </c>
      <c r="L179" s="2" t="s">
        <v>47</v>
      </c>
      <c r="M179" s="8" t="s">
        <v>194</v>
      </c>
    </row>
    <row r="180">
      <c r="A180" s="2" t="s">
        <v>2</v>
      </c>
      <c r="B180" s="6" t="s">
        <v>874</v>
      </c>
      <c r="C180" s="8" t="s">
        <v>202</v>
      </c>
      <c r="D180" s="2" t="s">
        <v>31</v>
      </c>
      <c r="E180" s="6" t="s">
        <v>200</v>
      </c>
      <c r="F180" s="2" t="s">
        <v>39</v>
      </c>
      <c r="G180" s="2" t="s">
        <v>21</v>
      </c>
      <c r="H180" s="2" t="s">
        <v>42</v>
      </c>
      <c r="I180" s="2" t="s">
        <v>43</v>
      </c>
      <c r="J180" s="2" t="s">
        <v>45</v>
      </c>
      <c r="K180" s="2" t="s">
        <v>46</v>
      </c>
      <c r="L180" s="2" t="s">
        <v>47</v>
      </c>
      <c r="M180" s="8" t="s">
        <v>201</v>
      </c>
    </row>
    <row r="181">
      <c r="A181" s="2" t="s">
        <v>2</v>
      </c>
      <c r="B181" s="6" t="s">
        <v>875</v>
      </c>
      <c r="C181" s="8" t="s">
        <v>209</v>
      </c>
      <c r="D181" s="2" t="s">
        <v>31</v>
      </c>
      <c r="E181" s="6" t="s">
        <v>207</v>
      </c>
      <c r="F181" s="2" t="s">
        <v>39</v>
      </c>
      <c r="G181" s="2" t="s">
        <v>21</v>
      </c>
      <c r="H181" s="2" t="s">
        <v>42</v>
      </c>
      <c r="I181" s="2" t="s">
        <v>43</v>
      </c>
      <c r="J181" s="2" t="s">
        <v>45</v>
      </c>
      <c r="K181" s="2" t="s">
        <v>46</v>
      </c>
      <c r="L181" s="2" t="s">
        <v>47</v>
      </c>
      <c r="M181" s="8" t="s">
        <v>208</v>
      </c>
    </row>
    <row r="182">
      <c r="A182" s="2" t="s">
        <v>2</v>
      </c>
      <c r="B182" s="6" t="s">
        <v>876</v>
      </c>
      <c r="C182" s="8" t="s">
        <v>214</v>
      </c>
      <c r="D182" s="2" t="s">
        <v>31</v>
      </c>
      <c r="E182" s="6" t="s">
        <v>211</v>
      </c>
      <c r="F182" s="2" t="s">
        <v>39</v>
      </c>
      <c r="G182" s="2" t="s">
        <v>21</v>
      </c>
      <c r="H182" s="2" t="s">
        <v>42</v>
      </c>
      <c r="I182" s="2" t="s">
        <v>43</v>
      </c>
      <c r="J182" s="2" t="s">
        <v>45</v>
      </c>
      <c r="K182" s="2" t="s">
        <v>46</v>
      </c>
      <c r="L182" s="2" t="s">
        <v>47</v>
      </c>
      <c r="M182" s="8" t="s">
        <v>213</v>
      </c>
    </row>
    <row r="183">
      <c r="A183" s="2" t="s">
        <v>2</v>
      </c>
      <c r="B183" s="6" t="s">
        <v>877</v>
      </c>
      <c r="C183" s="8" t="s">
        <v>220</v>
      </c>
      <c r="D183" s="2" t="s">
        <v>31</v>
      </c>
      <c r="E183" s="6" t="s">
        <v>218</v>
      </c>
      <c r="F183" s="2" t="s">
        <v>39</v>
      </c>
      <c r="G183" s="2" t="s">
        <v>21</v>
      </c>
      <c r="H183" s="2" t="s">
        <v>42</v>
      </c>
      <c r="I183" s="2" t="s">
        <v>43</v>
      </c>
      <c r="J183" s="2" t="s">
        <v>45</v>
      </c>
      <c r="K183" s="2" t="s">
        <v>46</v>
      </c>
      <c r="L183" s="2" t="s">
        <v>47</v>
      </c>
      <c r="M183" s="8" t="s">
        <v>219</v>
      </c>
    </row>
    <row r="184">
      <c r="A184" s="2" t="s">
        <v>2</v>
      </c>
      <c r="B184" s="6" t="s">
        <v>878</v>
      </c>
      <c r="C184" s="8" t="s">
        <v>224</v>
      </c>
      <c r="D184" s="2" t="s">
        <v>31</v>
      </c>
      <c r="E184" s="6" t="s">
        <v>222</v>
      </c>
      <c r="F184" s="2" t="s">
        <v>39</v>
      </c>
      <c r="G184" s="2" t="s">
        <v>21</v>
      </c>
      <c r="H184" s="2" t="s">
        <v>42</v>
      </c>
      <c r="I184" s="2" t="s">
        <v>43</v>
      </c>
      <c r="J184" s="2" t="s">
        <v>45</v>
      </c>
      <c r="K184" s="2" t="s">
        <v>46</v>
      </c>
      <c r="L184" s="2" t="s">
        <v>47</v>
      </c>
      <c r="M184" s="8" t="s">
        <v>223</v>
      </c>
    </row>
    <row r="185">
      <c r="A185" s="2" t="s">
        <v>2</v>
      </c>
      <c r="B185" s="6" t="s">
        <v>879</v>
      </c>
      <c r="C185" s="8" t="s">
        <v>230</v>
      </c>
      <c r="D185" s="2" t="s">
        <v>31</v>
      </c>
      <c r="E185" s="6" t="s">
        <v>228</v>
      </c>
      <c r="F185" s="2" t="s">
        <v>39</v>
      </c>
      <c r="G185" s="2" t="s">
        <v>21</v>
      </c>
      <c r="H185" s="2" t="s">
        <v>42</v>
      </c>
      <c r="I185" s="2" t="s">
        <v>43</v>
      </c>
      <c r="J185" s="2" t="s">
        <v>45</v>
      </c>
      <c r="K185" s="2" t="s">
        <v>46</v>
      </c>
      <c r="L185" s="2" t="s">
        <v>47</v>
      </c>
      <c r="M185" s="8" t="s">
        <v>229</v>
      </c>
    </row>
    <row r="186">
      <c r="A186" s="2" t="s">
        <v>2</v>
      </c>
      <c r="B186" s="6" t="s">
        <v>880</v>
      </c>
      <c r="C186" s="8" t="s">
        <v>235</v>
      </c>
      <c r="D186" s="2" t="s">
        <v>31</v>
      </c>
      <c r="E186" s="6" t="s">
        <v>233</v>
      </c>
      <c r="F186" s="2" t="s">
        <v>39</v>
      </c>
      <c r="G186" s="2" t="s">
        <v>21</v>
      </c>
      <c r="H186" s="2" t="s">
        <v>42</v>
      </c>
      <c r="I186" s="2" t="s">
        <v>43</v>
      </c>
      <c r="J186" s="2" t="s">
        <v>45</v>
      </c>
      <c r="K186" s="2" t="s">
        <v>46</v>
      </c>
      <c r="L186" s="2" t="s">
        <v>47</v>
      </c>
      <c r="M186" s="8" t="s">
        <v>234</v>
      </c>
    </row>
    <row r="187">
      <c r="A187" s="2" t="s">
        <v>2</v>
      </c>
      <c r="B187" s="6" t="s">
        <v>881</v>
      </c>
      <c r="C187" s="8" t="s">
        <v>243</v>
      </c>
      <c r="D187" s="2" t="s">
        <v>31</v>
      </c>
      <c r="E187" s="6" t="s">
        <v>240</v>
      </c>
      <c r="F187" s="2" t="s">
        <v>39</v>
      </c>
      <c r="G187" s="2" t="s">
        <v>21</v>
      </c>
      <c r="H187" s="2" t="s">
        <v>42</v>
      </c>
      <c r="I187" s="2" t="s">
        <v>43</v>
      </c>
      <c r="J187" s="2" t="s">
        <v>45</v>
      </c>
      <c r="K187" s="2" t="s">
        <v>46</v>
      </c>
      <c r="L187" s="2" t="s">
        <v>47</v>
      </c>
      <c r="M187" s="8" t="s">
        <v>242</v>
      </c>
    </row>
    <row r="188">
      <c r="A188" s="2" t="s">
        <v>2</v>
      </c>
      <c r="B188" s="6" t="s">
        <v>882</v>
      </c>
      <c r="C188" s="8" t="s">
        <v>247</v>
      </c>
      <c r="D188" s="2" t="s">
        <v>31</v>
      </c>
      <c r="E188" s="6" t="s">
        <v>238</v>
      </c>
      <c r="F188" s="2" t="s">
        <v>39</v>
      </c>
      <c r="G188" s="2" t="s">
        <v>21</v>
      </c>
      <c r="H188" s="2" t="s">
        <v>42</v>
      </c>
      <c r="I188" s="2" t="s">
        <v>43</v>
      </c>
      <c r="J188" s="2" t="s">
        <v>45</v>
      </c>
      <c r="K188" s="2" t="s">
        <v>46</v>
      </c>
      <c r="L188" s="2" t="s">
        <v>47</v>
      </c>
      <c r="M188" s="8" t="s">
        <v>246</v>
      </c>
    </row>
    <row r="189">
      <c r="A189" s="2" t="s">
        <v>2</v>
      </c>
      <c r="B189" s="6" t="s">
        <v>883</v>
      </c>
      <c r="C189" s="8" t="s">
        <v>253</v>
      </c>
      <c r="D189" s="2" t="s">
        <v>31</v>
      </c>
      <c r="E189" s="6" t="s">
        <v>251</v>
      </c>
      <c r="F189" s="2" t="s">
        <v>39</v>
      </c>
      <c r="G189" s="2" t="s">
        <v>21</v>
      </c>
      <c r="H189" s="2" t="s">
        <v>42</v>
      </c>
      <c r="I189" s="2" t="s">
        <v>43</v>
      </c>
      <c r="J189" s="2" t="s">
        <v>45</v>
      </c>
      <c r="K189" s="2" t="s">
        <v>46</v>
      </c>
      <c r="L189" s="2" t="s">
        <v>47</v>
      </c>
      <c r="M189" s="8" t="s">
        <v>252</v>
      </c>
    </row>
    <row r="190">
      <c r="A190" s="2" t="s">
        <v>2</v>
      </c>
      <c r="B190" s="6" t="s">
        <v>884</v>
      </c>
      <c r="C190" s="8" t="s">
        <v>257</v>
      </c>
      <c r="D190" s="2" t="s">
        <v>31</v>
      </c>
      <c r="E190" s="6" t="s">
        <v>104</v>
      </c>
      <c r="F190" s="2" t="s">
        <v>39</v>
      </c>
      <c r="G190" s="2" t="s">
        <v>21</v>
      </c>
      <c r="H190" s="2" t="s">
        <v>42</v>
      </c>
      <c r="I190" s="2" t="s">
        <v>43</v>
      </c>
      <c r="J190" s="2" t="s">
        <v>45</v>
      </c>
      <c r="K190" s="2" t="s">
        <v>46</v>
      </c>
      <c r="L190" s="2" t="s">
        <v>47</v>
      </c>
      <c r="M190" s="8" t="s">
        <v>256</v>
      </c>
    </row>
    <row r="191">
      <c r="A191" s="2" t="s">
        <v>2</v>
      </c>
      <c r="B191" s="6" t="s">
        <v>885</v>
      </c>
      <c r="C191" s="8" t="s">
        <v>262</v>
      </c>
      <c r="D191" s="2" t="s">
        <v>31</v>
      </c>
      <c r="E191" s="6" t="s">
        <v>92</v>
      </c>
      <c r="F191" s="2" t="s">
        <v>39</v>
      </c>
      <c r="G191" s="2" t="s">
        <v>21</v>
      </c>
      <c r="H191" s="2" t="s">
        <v>42</v>
      </c>
      <c r="I191" s="2" t="s">
        <v>43</v>
      </c>
      <c r="J191" s="2" t="s">
        <v>45</v>
      </c>
      <c r="K191" s="2" t="s">
        <v>46</v>
      </c>
      <c r="L191" s="2" t="s">
        <v>47</v>
      </c>
      <c r="M191" s="8" t="s">
        <v>261</v>
      </c>
    </row>
    <row r="192">
      <c r="A192" s="2" t="s">
        <v>2</v>
      </c>
      <c r="B192" s="6" t="s">
        <v>886</v>
      </c>
      <c r="C192" s="8" t="s">
        <v>267</v>
      </c>
      <c r="D192" s="2" t="s">
        <v>31</v>
      </c>
      <c r="E192" s="6" t="s">
        <v>265</v>
      </c>
      <c r="F192" s="2" t="s">
        <v>39</v>
      </c>
      <c r="G192" s="2" t="s">
        <v>21</v>
      </c>
      <c r="H192" s="2" t="s">
        <v>42</v>
      </c>
      <c r="I192" s="2" t="s">
        <v>43</v>
      </c>
      <c r="J192" s="2" t="s">
        <v>45</v>
      </c>
      <c r="K192" s="2" t="s">
        <v>46</v>
      </c>
      <c r="L192" s="2" t="s">
        <v>47</v>
      </c>
      <c r="M192" s="8" t="s">
        <v>266</v>
      </c>
    </row>
    <row r="193">
      <c r="A193" s="2" t="s">
        <v>2</v>
      </c>
      <c r="B193" s="6" t="s">
        <v>887</v>
      </c>
      <c r="C193" s="8" t="s">
        <v>272</v>
      </c>
      <c r="D193" s="2" t="s">
        <v>31</v>
      </c>
      <c r="E193" s="6" t="s">
        <v>270</v>
      </c>
      <c r="F193" s="2" t="s">
        <v>39</v>
      </c>
      <c r="G193" s="2" t="s">
        <v>21</v>
      </c>
      <c r="H193" s="2" t="s">
        <v>42</v>
      </c>
      <c r="I193" s="2" t="s">
        <v>43</v>
      </c>
      <c r="J193" s="2" t="s">
        <v>45</v>
      </c>
      <c r="K193" s="2" t="s">
        <v>46</v>
      </c>
      <c r="L193" s="2" t="s">
        <v>47</v>
      </c>
      <c r="M193" s="8" t="s">
        <v>271</v>
      </c>
    </row>
    <row r="194">
      <c r="A194" s="2" t="s">
        <v>2</v>
      </c>
      <c r="B194" s="6" t="s">
        <v>888</v>
      </c>
      <c r="C194" s="8" t="s">
        <v>276</v>
      </c>
      <c r="D194" s="2" t="s">
        <v>31</v>
      </c>
      <c r="E194" s="6" t="s">
        <v>113</v>
      </c>
      <c r="F194" s="2" t="s">
        <v>39</v>
      </c>
      <c r="G194" s="2" t="s">
        <v>21</v>
      </c>
      <c r="H194" s="2" t="s">
        <v>42</v>
      </c>
      <c r="I194" s="2" t="s">
        <v>43</v>
      </c>
      <c r="J194" s="2" t="s">
        <v>45</v>
      </c>
      <c r="K194" s="2" t="s">
        <v>46</v>
      </c>
      <c r="L194" s="2" t="s">
        <v>47</v>
      </c>
      <c r="M194" s="8" t="s">
        <v>275</v>
      </c>
    </row>
    <row r="195">
      <c r="A195" s="2" t="s">
        <v>2</v>
      </c>
      <c r="B195" s="6" t="s">
        <v>889</v>
      </c>
      <c r="C195" s="8" t="s">
        <v>281</v>
      </c>
      <c r="D195" s="2" t="s">
        <v>31</v>
      </c>
      <c r="E195" s="6" t="s">
        <v>279</v>
      </c>
      <c r="F195" s="2" t="s">
        <v>39</v>
      </c>
      <c r="G195" s="2" t="s">
        <v>21</v>
      </c>
      <c r="H195" s="2" t="s">
        <v>42</v>
      </c>
      <c r="I195" s="2" t="s">
        <v>43</v>
      </c>
      <c r="J195" s="2" t="s">
        <v>45</v>
      </c>
      <c r="K195" s="2" t="s">
        <v>46</v>
      </c>
      <c r="L195" s="2" t="s">
        <v>47</v>
      </c>
      <c r="M195" s="8" t="s">
        <v>280</v>
      </c>
    </row>
    <row r="196">
      <c r="A196" s="2" t="s">
        <v>2</v>
      </c>
      <c r="B196" s="6" t="s">
        <v>890</v>
      </c>
      <c r="C196" s="8" t="s">
        <v>285</v>
      </c>
      <c r="D196" s="2" t="s">
        <v>31</v>
      </c>
      <c r="E196" s="6" t="s">
        <v>283</v>
      </c>
      <c r="F196" s="2" t="s">
        <v>39</v>
      </c>
      <c r="G196" s="2" t="s">
        <v>21</v>
      </c>
      <c r="H196" s="2" t="s">
        <v>42</v>
      </c>
      <c r="I196" s="2" t="s">
        <v>43</v>
      </c>
      <c r="J196" s="2" t="s">
        <v>45</v>
      </c>
      <c r="K196" s="2" t="s">
        <v>46</v>
      </c>
      <c r="L196" s="2" t="s">
        <v>47</v>
      </c>
      <c r="M196" s="8" t="s">
        <v>284</v>
      </c>
    </row>
    <row r="197">
      <c r="A197" s="2" t="s">
        <v>2</v>
      </c>
      <c r="B197" s="6" t="s">
        <v>891</v>
      </c>
      <c r="C197" s="8" t="s">
        <v>290</v>
      </c>
      <c r="D197" s="2" t="s">
        <v>31</v>
      </c>
      <c r="E197" s="6" t="s">
        <v>66</v>
      </c>
      <c r="F197" s="2" t="s">
        <v>39</v>
      </c>
      <c r="G197" s="2" t="s">
        <v>21</v>
      </c>
      <c r="H197" s="2" t="s">
        <v>42</v>
      </c>
      <c r="I197" s="2" t="s">
        <v>43</v>
      </c>
      <c r="J197" s="2" t="s">
        <v>45</v>
      </c>
      <c r="K197" s="2" t="s">
        <v>46</v>
      </c>
      <c r="L197" s="2" t="s">
        <v>47</v>
      </c>
      <c r="M197" s="8" t="s">
        <v>289</v>
      </c>
    </row>
    <row r="198">
      <c r="A198" s="2" t="s">
        <v>2</v>
      </c>
      <c r="B198" s="6" t="s">
        <v>892</v>
      </c>
      <c r="C198" s="8" t="s">
        <v>294</v>
      </c>
      <c r="D198" s="2" t="s">
        <v>31</v>
      </c>
      <c r="E198" s="6" t="s">
        <v>210</v>
      </c>
      <c r="F198" s="2" t="s">
        <v>39</v>
      </c>
      <c r="G198" s="2" t="s">
        <v>21</v>
      </c>
      <c r="H198" s="2" t="s">
        <v>42</v>
      </c>
      <c r="I198" s="2" t="s">
        <v>43</v>
      </c>
      <c r="J198" s="2" t="s">
        <v>45</v>
      </c>
      <c r="K198" s="2" t="s">
        <v>46</v>
      </c>
      <c r="L198" s="2" t="s">
        <v>47</v>
      </c>
      <c r="M198" s="8" t="s">
        <v>292</v>
      </c>
    </row>
    <row r="199">
      <c r="A199" s="2" t="s">
        <v>2</v>
      </c>
      <c r="B199" s="6" t="s">
        <v>895</v>
      </c>
      <c r="C199" s="8" t="s">
        <v>300</v>
      </c>
      <c r="D199" s="2" t="s">
        <v>31</v>
      </c>
      <c r="E199" s="6" t="s">
        <v>296</v>
      </c>
      <c r="F199" s="2" t="s">
        <v>39</v>
      </c>
      <c r="G199" s="2" t="s">
        <v>21</v>
      </c>
      <c r="H199" s="2" t="s">
        <v>42</v>
      </c>
      <c r="I199" s="2" t="s">
        <v>43</v>
      </c>
      <c r="J199" s="2" t="s">
        <v>45</v>
      </c>
      <c r="K199" s="2" t="s">
        <v>46</v>
      </c>
      <c r="L199" s="2" t="s">
        <v>47</v>
      </c>
      <c r="M199" s="8" t="s">
        <v>297</v>
      </c>
    </row>
    <row r="200">
      <c r="A200" s="2" t="s">
        <v>2</v>
      </c>
      <c r="B200" s="6" t="s">
        <v>900</v>
      </c>
      <c r="C200" s="8" t="s">
        <v>303</v>
      </c>
      <c r="D200" s="2" t="s">
        <v>31</v>
      </c>
      <c r="E200" s="6" t="s">
        <v>278</v>
      </c>
      <c r="F200" s="2" t="s">
        <v>39</v>
      </c>
      <c r="G200" s="2" t="s">
        <v>21</v>
      </c>
      <c r="H200" s="2" t="s">
        <v>42</v>
      </c>
      <c r="I200" s="2" t="s">
        <v>43</v>
      </c>
      <c r="J200" s="2" t="s">
        <v>45</v>
      </c>
      <c r="K200" s="2" t="s">
        <v>46</v>
      </c>
      <c r="L200" s="2" t="s">
        <v>47</v>
      </c>
      <c r="M200" s="8" t="s">
        <v>302</v>
      </c>
    </row>
    <row r="201">
      <c r="A201" s="2" t="s">
        <v>2</v>
      </c>
      <c r="B201" s="6" t="s">
        <v>901</v>
      </c>
      <c r="C201" s="8" t="s">
        <v>309</v>
      </c>
      <c r="D201" s="2" t="s">
        <v>31</v>
      </c>
      <c r="E201" s="6" t="s">
        <v>301</v>
      </c>
      <c r="F201" s="2" t="s">
        <v>39</v>
      </c>
      <c r="G201" s="2" t="s">
        <v>21</v>
      </c>
      <c r="H201" s="2" t="s">
        <v>42</v>
      </c>
      <c r="I201" s="2" t="s">
        <v>43</v>
      </c>
      <c r="J201" s="2" t="s">
        <v>45</v>
      </c>
      <c r="K201" s="2" t="s">
        <v>46</v>
      </c>
      <c r="L201" s="2" t="s">
        <v>47</v>
      </c>
      <c r="M201" s="8" t="s">
        <v>308</v>
      </c>
    </row>
    <row r="202">
      <c r="A202" s="2" t="s">
        <v>2</v>
      </c>
      <c r="B202" s="6" t="s">
        <v>906</v>
      </c>
      <c r="C202" s="8" t="s">
        <v>313</v>
      </c>
      <c r="D202" s="2" t="s">
        <v>31</v>
      </c>
      <c r="E202" s="6" t="s">
        <v>311</v>
      </c>
      <c r="F202" s="2" t="s">
        <v>39</v>
      </c>
      <c r="G202" s="2" t="s">
        <v>21</v>
      </c>
      <c r="H202" s="2" t="s">
        <v>42</v>
      </c>
      <c r="I202" s="2" t="s">
        <v>43</v>
      </c>
      <c r="J202" s="2" t="s">
        <v>45</v>
      </c>
      <c r="K202" s="2" t="s">
        <v>46</v>
      </c>
      <c r="L202" s="2" t="s">
        <v>47</v>
      </c>
      <c r="M202" s="8" t="s">
        <v>312</v>
      </c>
    </row>
    <row r="203">
      <c r="A203" s="2" t="s">
        <v>2</v>
      </c>
      <c r="B203" s="6" t="s">
        <v>907</v>
      </c>
      <c r="C203" s="8" t="s">
        <v>319</v>
      </c>
      <c r="D203" s="2" t="s">
        <v>31</v>
      </c>
      <c r="E203" s="6" t="s">
        <v>181</v>
      </c>
      <c r="F203" s="2" t="s">
        <v>39</v>
      </c>
      <c r="G203" s="2" t="s">
        <v>21</v>
      </c>
      <c r="H203" s="2" t="s">
        <v>42</v>
      </c>
      <c r="I203" s="2" t="s">
        <v>43</v>
      </c>
      <c r="J203" s="2" t="s">
        <v>45</v>
      </c>
      <c r="K203" s="2" t="s">
        <v>46</v>
      </c>
      <c r="L203" s="2" t="s">
        <v>47</v>
      </c>
      <c r="M203" s="8" t="s">
        <v>318</v>
      </c>
    </row>
    <row r="204">
      <c r="A204" s="2" t="s">
        <v>2</v>
      </c>
      <c r="B204" s="6" t="s">
        <v>910</v>
      </c>
      <c r="C204" s="8" t="s">
        <v>324</v>
      </c>
      <c r="D204" s="2" t="s">
        <v>31</v>
      </c>
      <c r="E204" s="6" t="s">
        <v>322</v>
      </c>
      <c r="F204" s="2" t="s">
        <v>39</v>
      </c>
      <c r="G204" s="2" t="s">
        <v>21</v>
      </c>
      <c r="H204" s="2" t="s">
        <v>42</v>
      </c>
      <c r="I204" s="2" t="s">
        <v>43</v>
      </c>
      <c r="J204" s="2" t="s">
        <v>45</v>
      </c>
      <c r="K204" s="2" t="s">
        <v>46</v>
      </c>
      <c r="L204" s="2" t="s">
        <v>47</v>
      </c>
      <c r="M204" s="8" t="s">
        <v>323</v>
      </c>
    </row>
    <row r="205">
      <c r="A205" s="2" t="s">
        <v>2</v>
      </c>
      <c r="B205" s="6" t="s">
        <v>913</v>
      </c>
      <c r="C205" s="8" t="s">
        <v>330</v>
      </c>
      <c r="D205" s="2" t="s">
        <v>31</v>
      </c>
      <c r="E205" s="6" t="s">
        <v>190</v>
      </c>
      <c r="F205" s="2" t="s">
        <v>39</v>
      </c>
      <c r="G205" s="2" t="s">
        <v>21</v>
      </c>
      <c r="H205" s="2" t="s">
        <v>42</v>
      </c>
      <c r="I205" s="2" t="s">
        <v>43</v>
      </c>
      <c r="J205" s="2" t="s">
        <v>45</v>
      </c>
      <c r="K205" s="2" t="s">
        <v>46</v>
      </c>
      <c r="L205" s="2" t="s">
        <v>47</v>
      </c>
      <c r="M205" s="8" t="s">
        <v>329</v>
      </c>
    </row>
    <row r="206">
      <c r="A206" s="2" t="s">
        <v>2</v>
      </c>
      <c r="B206" s="6" t="s">
        <v>914</v>
      </c>
      <c r="C206" s="8" t="s">
        <v>334</v>
      </c>
      <c r="D206" s="2" t="s">
        <v>31</v>
      </c>
      <c r="E206" s="6" t="s">
        <v>199</v>
      </c>
      <c r="F206" s="2" t="s">
        <v>39</v>
      </c>
      <c r="G206" s="2" t="s">
        <v>21</v>
      </c>
      <c r="H206" s="2" t="s">
        <v>42</v>
      </c>
      <c r="I206" s="2" t="s">
        <v>43</v>
      </c>
      <c r="J206" s="2" t="s">
        <v>45</v>
      </c>
      <c r="K206" s="2" t="s">
        <v>46</v>
      </c>
      <c r="L206" s="2" t="s">
        <v>47</v>
      </c>
      <c r="M206" s="8" t="s">
        <v>332</v>
      </c>
    </row>
    <row r="207">
      <c r="A207" s="2" t="s">
        <v>2</v>
      </c>
      <c r="B207" s="6" t="s">
        <v>919</v>
      </c>
      <c r="C207" s="8" t="s">
        <v>340</v>
      </c>
      <c r="D207" s="2" t="s">
        <v>31</v>
      </c>
      <c r="E207" s="6" t="s">
        <v>338</v>
      </c>
      <c r="F207" s="2" t="s">
        <v>39</v>
      </c>
      <c r="G207" s="2" t="s">
        <v>21</v>
      </c>
      <c r="H207" s="2" t="s">
        <v>42</v>
      </c>
      <c r="I207" s="2" t="s">
        <v>43</v>
      </c>
      <c r="J207" s="2" t="s">
        <v>45</v>
      </c>
      <c r="K207" s="2" t="s">
        <v>46</v>
      </c>
      <c r="L207" s="2" t="s">
        <v>47</v>
      </c>
      <c r="M207" s="8" t="s">
        <v>339</v>
      </c>
    </row>
    <row r="208">
      <c r="A208" s="2" t="s">
        <v>2</v>
      </c>
      <c r="B208" s="6" t="s">
        <v>924</v>
      </c>
      <c r="C208" s="8" t="s">
        <v>343</v>
      </c>
      <c r="D208" s="2" t="s">
        <v>31</v>
      </c>
      <c r="E208" s="6" t="s">
        <v>341</v>
      </c>
      <c r="F208" s="2" t="s">
        <v>39</v>
      </c>
      <c r="G208" s="2" t="s">
        <v>21</v>
      </c>
      <c r="H208" s="2" t="s">
        <v>42</v>
      </c>
      <c r="I208" s="2" t="s">
        <v>43</v>
      </c>
      <c r="J208" s="2" t="s">
        <v>45</v>
      </c>
      <c r="K208" s="2" t="s">
        <v>46</v>
      </c>
      <c r="L208" s="2" t="s">
        <v>47</v>
      </c>
      <c r="M208" s="8" t="s">
        <v>342</v>
      </c>
    </row>
    <row r="209">
      <c r="A209" s="2" t="s">
        <v>2</v>
      </c>
      <c r="B209" s="6" t="s">
        <v>929</v>
      </c>
      <c r="C209" s="8" t="s">
        <v>349</v>
      </c>
      <c r="D209" s="2" t="s">
        <v>31</v>
      </c>
      <c r="E209" s="6" t="s">
        <v>75</v>
      </c>
      <c r="F209" s="2" t="s">
        <v>39</v>
      </c>
      <c r="G209" s="2" t="s">
        <v>21</v>
      </c>
      <c r="H209" s="2" t="s">
        <v>42</v>
      </c>
      <c r="I209" s="2" t="s">
        <v>43</v>
      </c>
      <c r="J209" s="2" t="s">
        <v>45</v>
      </c>
      <c r="K209" s="2" t="s">
        <v>46</v>
      </c>
      <c r="L209" s="2" t="s">
        <v>47</v>
      </c>
      <c r="M209" s="8" t="s">
        <v>348</v>
      </c>
    </row>
    <row r="210">
      <c r="A210" s="2" t="s">
        <v>2</v>
      </c>
      <c r="B210" s="6" t="s">
        <v>934</v>
      </c>
      <c r="C210" s="8" t="s">
        <v>353</v>
      </c>
      <c r="D210" s="2" t="s">
        <v>31</v>
      </c>
      <c r="E210" s="6" t="s">
        <v>351</v>
      </c>
      <c r="F210" s="2" t="s">
        <v>39</v>
      </c>
      <c r="G210" s="2" t="s">
        <v>21</v>
      </c>
      <c r="H210" s="2" t="s">
        <v>42</v>
      </c>
      <c r="I210" s="2" t="s">
        <v>43</v>
      </c>
      <c r="J210" s="2" t="s">
        <v>45</v>
      </c>
      <c r="K210" s="2" t="s">
        <v>46</v>
      </c>
      <c r="L210" s="2" t="s">
        <v>47</v>
      </c>
      <c r="M210" s="8" t="s">
        <v>352</v>
      </c>
    </row>
    <row r="211">
      <c r="A211" s="2" t="s">
        <v>2</v>
      </c>
      <c r="B211" s="6" t="s">
        <v>937</v>
      </c>
      <c r="C211" s="8" t="s">
        <v>359</v>
      </c>
      <c r="D211" s="2" t="s">
        <v>31</v>
      </c>
      <c r="E211" s="6" t="s">
        <v>357</v>
      </c>
      <c r="F211" s="2" t="s">
        <v>39</v>
      </c>
      <c r="G211" s="2" t="s">
        <v>21</v>
      </c>
      <c r="H211" s="2" t="s">
        <v>42</v>
      </c>
      <c r="I211" s="2" t="s">
        <v>43</v>
      </c>
      <c r="J211" s="2" t="s">
        <v>45</v>
      </c>
      <c r="K211" s="2" t="s">
        <v>46</v>
      </c>
      <c r="L211" s="2" t="s">
        <v>47</v>
      </c>
      <c r="M211" s="8" t="s">
        <v>358</v>
      </c>
    </row>
    <row r="212">
      <c r="A212" s="2" t="s">
        <v>2</v>
      </c>
      <c r="B212" s="6" t="s">
        <v>940</v>
      </c>
      <c r="C212" s="8" t="s">
        <v>364</v>
      </c>
      <c r="D212" s="2" t="s">
        <v>31</v>
      </c>
      <c r="E212" s="6" t="s">
        <v>161</v>
      </c>
      <c r="F212" s="2" t="s">
        <v>39</v>
      </c>
      <c r="G212" s="2" t="s">
        <v>21</v>
      </c>
      <c r="H212" s="2" t="s">
        <v>42</v>
      </c>
      <c r="I212" s="2" t="s">
        <v>43</v>
      </c>
      <c r="J212" s="2" t="s">
        <v>45</v>
      </c>
      <c r="K212" s="2" t="s">
        <v>46</v>
      </c>
      <c r="L212" s="2" t="s">
        <v>47</v>
      </c>
      <c r="M212" s="8" t="s">
        <v>362</v>
      </c>
    </row>
    <row r="213">
      <c r="A213" s="2" t="s">
        <v>2</v>
      </c>
      <c r="B213" s="6" t="s">
        <v>945</v>
      </c>
      <c r="C213" s="8" t="s">
        <v>369</v>
      </c>
      <c r="D213" s="2" t="s">
        <v>31</v>
      </c>
      <c r="E213" s="6" t="s">
        <v>367</v>
      </c>
      <c r="F213" s="2" t="s">
        <v>39</v>
      </c>
      <c r="G213" s="2" t="s">
        <v>21</v>
      </c>
      <c r="H213" s="2" t="s">
        <v>42</v>
      </c>
      <c r="I213" s="2" t="s">
        <v>43</v>
      </c>
      <c r="J213" s="2" t="s">
        <v>45</v>
      </c>
      <c r="K213" s="2" t="s">
        <v>46</v>
      </c>
      <c r="L213" s="2" t="s">
        <v>47</v>
      </c>
      <c r="M213" s="8" t="s">
        <v>368</v>
      </c>
    </row>
    <row r="214">
      <c r="A214" s="2" t="s">
        <v>2</v>
      </c>
      <c r="B214" s="6" t="s">
        <v>947</v>
      </c>
      <c r="C214" s="8" t="s">
        <v>374</v>
      </c>
      <c r="D214" s="2" t="s">
        <v>31</v>
      </c>
      <c r="E214" s="6" t="s">
        <v>372</v>
      </c>
      <c r="F214" s="2" t="s">
        <v>39</v>
      </c>
      <c r="G214" s="2" t="s">
        <v>21</v>
      </c>
      <c r="H214" s="2" t="s">
        <v>42</v>
      </c>
      <c r="I214" s="2" t="s">
        <v>43</v>
      </c>
      <c r="J214" s="2" t="s">
        <v>45</v>
      </c>
      <c r="K214" s="2" t="s">
        <v>46</v>
      </c>
      <c r="L214" s="2" t="s">
        <v>47</v>
      </c>
      <c r="M214" s="8" t="s">
        <v>373</v>
      </c>
    </row>
    <row r="215">
      <c r="A215" s="2" t="s">
        <v>2</v>
      </c>
      <c r="B215" s="6" t="s">
        <v>950</v>
      </c>
      <c r="C215" s="8" t="s">
        <v>381</v>
      </c>
      <c r="D215" s="2" t="s">
        <v>31</v>
      </c>
      <c r="E215" s="6" t="s">
        <v>379</v>
      </c>
      <c r="F215" s="2" t="s">
        <v>39</v>
      </c>
      <c r="G215" s="2" t="s">
        <v>21</v>
      </c>
      <c r="H215" s="2" t="s">
        <v>42</v>
      </c>
      <c r="I215" s="2" t="s">
        <v>43</v>
      </c>
      <c r="J215" s="2" t="s">
        <v>45</v>
      </c>
      <c r="K215" s="2" t="s">
        <v>46</v>
      </c>
      <c r="L215" s="2" t="s">
        <v>47</v>
      </c>
      <c r="M215" s="8" t="s">
        <v>380</v>
      </c>
    </row>
    <row r="216">
      <c r="A216" s="2" t="s">
        <v>2</v>
      </c>
      <c r="B216" s="6" t="s">
        <v>954</v>
      </c>
      <c r="C216" s="8" t="s">
        <v>385</v>
      </c>
      <c r="D216" s="2" t="s">
        <v>31</v>
      </c>
      <c r="E216" s="6" t="s">
        <v>383</v>
      </c>
      <c r="F216" s="2" t="s">
        <v>39</v>
      </c>
      <c r="G216" s="2" t="s">
        <v>21</v>
      </c>
      <c r="H216" s="2" t="s">
        <v>42</v>
      </c>
      <c r="I216" s="2" t="s">
        <v>43</v>
      </c>
      <c r="J216" s="2" t="s">
        <v>45</v>
      </c>
      <c r="K216" s="2" t="s">
        <v>46</v>
      </c>
      <c r="L216" s="2" t="s">
        <v>47</v>
      </c>
      <c r="M216" s="8" t="s">
        <v>384</v>
      </c>
    </row>
    <row r="217">
      <c r="A217" s="2" t="s">
        <v>2</v>
      </c>
      <c r="B217" s="6" t="s">
        <v>957</v>
      </c>
      <c r="C217" s="8" t="s">
        <v>392</v>
      </c>
      <c r="D217" s="2" t="s">
        <v>31</v>
      </c>
      <c r="E217" s="6" t="s">
        <v>390</v>
      </c>
      <c r="F217" s="2" t="s">
        <v>39</v>
      </c>
      <c r="G217" s="2" t="s">
        <v>21</v>
      </c>
      <c r="H217" s="2" t="s">
        <v>42</v>
      </c>
      <c r="I217" s="2" t="s">
        <v>43</v>
      </c>
      <c r="J217" s="2" t="s">
        <v>45</v>
      </c>
      <c r="K217" s="2" t="s">
        <v>46</v>
      </c>
      <c r="L217" s="2" t="s">
        <v>47</v>
      </c>
      <c r="M217" s="8" t="s">
        <v>391</v>
      </c>
    </row>
    <row r="218">
      <c r="A218" s="2" t="s">
        <v>2</v>
      </c>
      <c r="B218" s="6" t="s">
        <v>962</v>
      </c>
      <c r="C218" s="8" t="s">
        <v>396</v>
      </c>
      <c r="D218" s="2" t="s">
        <v>31</v>
      </c>
      <c r="E218" s="6" t="s">
        <v>231</v>
      </c>
      <c r="F218" s="2" t="s">
        <v>39</v>
      </c>
      <c r="G218" s="2" t="s">
        <v>21</v>
      </c>
      <c r="H218" s="2" t="s">
        <v>42</v>
      </c>
      <c r="I218" s="2" t="s">
        <v>43</v>
      </c>
      <c r="J218" s="2" t="s">
        <v>45</v>
      </c>
      <c r="K218" s="2" t="s">
        <v>46</v>
      </c>
      <c r="L218" s="2" t="s">
        <v>47</v>
      </c>
      <c r="M218" s="8" t="s">
        <v>395</v>
      </c>
    </row>
    <row r="219">
      <c r="A219" s="2" t="s">
        <v>2</v>
      </c>
      <c r="B219" s="6" t="s">
        <v>964</v>
      </c>
      <c r="C219" s="8" t="s">
        <v>403</v>
      </c>
      <c r="D219" s="2" t="s">
        <v>31</v>
      </c>
      <c r="E219" s="6" t="s">
        <v>401</v>
      </c>
      <c r="F219" s="2" t="s">
        <v>39</v>
      </c>
      <c r="G219" s="2" t="s">
        <v>21</v>
      </c>
      <c r="H219" s="2" t="s">
        <v>42</v>
      </c>
      <c r="I219" s="2" t="s">
        <v>43</v>
      </c>
      <c r="J219" s="2" t="s">
        <v>45</v>
      </c>
      <c r="K219" s="2" t="s">
        <v>46</v>
      </c>
      <c r="L219" s="2" t="s">
        <v>47</v>
      </c>
      <c r="M219" s="8" t="s">
        <v>402</v>
      </c>
    </row>
    <row r="220">
      <c r="A220" s="2" t="s">
        <v>2</v>
      </c>
      <c r="B220" s="6" t="s">
        <v>968</v>
      </c>
      <c r="C220" s="8" t="s">
        <v>407</v>
      </c>
      <c r="D220" s="2" t="s">
        <v>31</v>
      </c>
      <c r="E220" s="6" t="s">
        <v>405</v>
      </c>
      <c r="F220" s="2" t="s">
        <v>39</v>
      </c>
      <c r="G220" s="2" t="s">
        <v>21</v>
      </c>
      <c r="H220" s="2" t="s">
        <v>42</v>
      </c>
      <c r="I220" s="2" t="s">
        <v>43</v>
      </c>
      <c r="J220" s="2" t="s">
        <v>45</v>
      </c>
      <c r="K220" s="2" t="s">
        <v>46</v>
      </c>
      <c r="L220" s="2" t="s">
        <v>47</v>
      </c>
      <c r="M220" s="8" t="s">
        <v>406</v>
      </c>
    </row>
    <row r="221">
      <c r="A221" s="2" t="s">
        <v>2</v>
      </c>
      <c r="B221" s="6" t="s">
        <v>971</v>
      </c>
      <c r="C221" s="8" t="s">
        <v>413</v>
      </c>
      <c r="D221" s="2" t="s">
        <v>31</v>
      </c>
      <c r="E221" s="6" t="s">
        <v>411</v>
      </c>
      <c r="F221" s="2" t="s">
        <v>39</v>
      </c>
      <c r="G221" s="2" t="s">
        <v>21</v>
      </c>
      <c r="H221" s="2" t="s">
        <v>42</v>
      </c>
      <c r="I221" s="2" t="s">
        <v>43</v>
      </c>
      <c r="J221" s="2" t="s">
        <v>45</v>
      </c>
      <c r="K221" s="2" t="s">
        <v>46</v>
      </c>
      <c r="L221" s="2" t="s">
        <v>47</v>
      </c>
      <c r="M221" s="8" t="s">
        <v>412</v>
      </c>
    </row>
    <row r="222">
      <c r="A222" s="2" t="s">
        <v>2</v>
      </c>
      <c r="B222" s="6" t="s">
        <v>974</v>
      </c>
      <c r="C222" s="8" t="s">
        <v>417</v>
      </c>
      <c r="D222" s="2" t="s">
        <v>31</v>
      </c>
      <c r="E222" s="6" t="s">
        <v>415</v>
      </c>
      <c r="F222" s="2" t="s">
        <v>39</v>
      </c>
      <c r="G222" s="2" t="s">
        <v>21</v>
      </c>
      <c r="H222" s="2" t="s">
        <v>42</v>
      </c>
      <c r="I222" s="2" t="s">
        <v>43</v>
      </c>
      <c r="J222" s="2" t="s">
        <v>45</v>
      </c>
      <c r="K222" s="2" t="s">
        <v>46</v>
      </c>
      <c r="L222" s="2" t="s">
        <v>47</v>
      </c>
      <c r="M222" s="8" t="s">
        <v>416</v>
      </c>
    </row>
    <row r="223">
      <c r="A223" s="2" t="s">
        <v>2</v>
      </c>
      <c r="B223" s="6" t="s">
        <v>977</v>
      </c>
      <c r="C223" s="8" t="s">
        <v>424</v>
      </c>
      <c r="D223" s="2" t="s">
        <v>31</v>
      </c>
      <c r="E223" s="6" t="s">
        <v>422</v>
      </c>
      <c r="F223" s="2" t="s">
        <v>39</v>
      </c>
      <c r="G223" s="2" t="s">
        <v>21</v>
      </c>
      <c r="H223" s="2" t="s">
        <v>42</v>
      </c>
      <c r="I223" s="2" t="s">
        <v>43</v>
      </c>
      <c r="J223" s="2" t="s">
        <v>45</v>
      </c>
      <c r="K223" s="2" t="s">
        <v>46</v>
      </c>
      <c r="L223" s="2" t="s">
        <v>47</v>
      </c>
      <c r="M223" s="8" t="s">
        <v>423</v>
      </c>
    </row>
    <row r="224">
      <c r="A224" s="2" t="s">
        <v>2</v>
      </c>
      <c r="B224" s="6" t="s">
        <v>980</v>
      </c>
      <c r="C224" s="8" t="s">
        <v>427</v>
      </c>
      <c r="D224" s="2" t="s">
        <v>31</v>
      </c>
      <c r="E224" s="6" t="s">
        <v>84</v>
      </c>
      <c r="F224" s="2" t="s">
        <v>39</v>
      </c>
      <c r="G224" s="2" t="s">
        <v>21</v>
      </c>
      <c r="H224" s="2" t="s">
        <v>42</v>
      </c>
      <c r="I224" s="2" t="s">
        <v>43</v>
      </c>
      <c r="J224" s="2" t="s">
        <v>45</v>
      </c>
      <c r="K224" s="2" t="s">
        <v>46</v>
      </c>
      <c r="L224" s="2" t="s">
        <v>47</v>
      </c>
      <c r="M224" s="8" t="s">
        <v>426</v>
      </c>
    </row>
    <row r="225">
      <c r="A225" s="2" t="s">
        <v>2</v>
      </c>
      <c r="B225" s="6" t="s">
        <v>985</v>
      </c>
      <c r="C225" s="8" t="s">
        <v>431</v>
      </c>
      <c r="D225" s="2" t="s">
        <v>31</v>
      </c>
      <c r="E225" s="6" t="s">
        <v>429</v>
      </c>
      <c r="F225" s="2" t="s">
        <v>39</v>
      </c>
      <c r="G225" s="2" t="s">
        <v>21</v>
      </c>
      <c r="H225" s="2" t="s">
        <v>42</v>
      </c>
      <c r="I225" s="2" t="s">
        <v>43</v>
      </c>
      <c r="J225" s="2" t="s">
        <v>45</v>
      </c>
      <c r="K225" s="2" t="s">
        <v>46</v>
      </c>
      <c r="L225" s="2" t="s">
        <v>47</v>
      </c>
      <c r="M225" s="8" t="s">
        <v>430</v>
      </c>
    </row>
    <row r="226">
      <c r="A226" s="2" t="s">
        <v>2</v>
      </c>
      <c r="B226" s="6" t="s">
        <v>989</v>
      </c>
      <c r="C226" s="8" t="s">
        <v>436</v>
      </c>
      <c r="D226" s="2" t="s">
        <v>31</v>
      </c>
      <c r="E226" s="6" t="s">
        <v>434</v>
      </c>
      <c r="F226" s="2" t="s">
        <v>39</v>
      </c>
      <c r="G226" s="2" t="s">
        <v>21</v>
      </c>
      <c r="H226" s="2" t="s">
        <v>42</v>
      </c>
      <c r="I226" s="2" t="s">
        <v>43</v>
      </c>
      <c r="J226" s="2" t="s">
        <v>45</v>
      </c>
      <c r="K226" s="2" t="s">
        <v>46</v>
      </c>
      <c r="L226" s="2" t="s">
        <v>47</v>
      </c>
      <c r="M226" s="8" t="s">
        <v>435</v>
      </c>
    </row>
    <row r="227">
      <c r="A227" s="2" t="s">
        <v>2</v>
      </c>
      <c r="B227" s="6" t="s">
        <v>992</v>
      </c>
      <c r="C227" s="8" t="s">
        <v>443</v>
      </c>
      <c r="D227" s="2" t="s">
        <v>31</v>
      </c>
      <c r="E227" s="6" t="s">
        <v>441</v>
      </c>
      <c r="F227" s="2" t="s">
        <v>39</v>
      </c>
      <c r="G227" s="2" t="s">
        <v>21</v>
      </c>
      <c r="H227" s="2" t="s">
        <v>42</v>
      </c>
      <c r="I227" s="2" t="s">
        <v>43</v>
      </c>
      <c r="J227" s="2" t="s">
        <v>45</v>
      </c>
      <c r="K227" s="2" t="s">
        <v>46</v>
      </c>
      <c r="L227" s="2" t="s">
        <v>47</v>
      </c>
      <c r="M227" s="8" t="s">
        <v>442</v>
      </c>
    </row>
    <row r="228">
      <c r="A228" s="2" t="s">
        <v>2</v>
      </c>
      <c r="B228" s="6" t="s">
        <v>996</v>
      </c>
      <c r="C228" s="8" t="s">
        <v>447</v>
      </c>
      <c r="D228" s="2" t="s">
        <v>31</v>
      </c>
      <c r="E228" s="6" t="s">
        <v>445</v>
      </c>
      <c r="F228" s="2" t="s">
        <v>39</v>
      </c>
      <c r="G228" s="2" t="s">
        <v>21</v>
      </c>
      <c r="H228" s="2" t="s">
        <v>42</v>
      </c>
      <c r="I228" s="2" t="s">
        <v>43</v>
      </c>
      <c r="J228" s="2" t="s">
        <v>45</v>
      </c>
      <c r="K228" s="2" t="s">
        <v>46</v>
      </c>
      <c r="L228" s="2" t="s">
        <v>47</v>
      </c>
      <c r="M228" s="8" t="s">
        <v>446</v>
      </c>
    </row>
    <row r="229">
      <c r="A229" s="2" t="s">
        <v>2</v>
      </c>
      <c r="B229" s="6" t="s">
        <v>1000</v>
      </c>
      <c r="C229" s="8" t="s">
        <v>454</v>
      </c>
      <c r="D229" s="2" t="s">
        <v>31</v>
      </c>
      <c r="E229" s="6" t="s">
        <v>451</v>
      </c>
      <c r="F229" s="2" t="s">
        <v>39</v>
      </c>
      <c r="G229" s="2" t="s">
        <v>21</v>
      </c>
      <c r="H229" s="2" t="s">
        <v>42</v>
      </c>
      <c r="I229" s="2" t="s">
        <v>43</v>
      </c>
      <c r="J229" s="2" t="s">
        <v>45</v>
      </c>
      <c r="K229" s="2" t="s">
        <v>46</v>
      </c>
      <c r="L229" s="2" t="s">
        <v>47</v>
      </c>
      <c r="M229" s="8" t="s">
        <v>453</v>
      </c>
    </row>
    <row r="230">
      <c r="A230" s="2" t="s">
        <v>2</v>
      </c>
      <c r="B230" s="6" t="s">
        <v>1003</v>
      </c>
      <c r="C230" s="8" t="s">
        <v>459</v>
      </c>
      <c r="D230" s="2" t="s">
        <v>31</v>
      </c>
      <c r="E230" s="6" t="s">
        <v>457</v>
      </c>
      <c r="F230" s="2" t="s">
        <v>39</v>
      </c>
      <c r="G230" s="2" t="s">
        <v>21</v>
      </c>
      <c r="H230" s="2" t="s">
        <v>42</v>
      </c>
      <c r="I230" s="2" t="s">
        <v>43</v>
      </c>
      <c r="J230" s="2" t="s">
        <v>45</v>
      </c>
      <c r="K230" s="2" t="s">
        <v>46</v>
      </c>
      <c r="L230" s="2" t="s">
        <v>47</v>
      </c>
      <c r="M230" s="8" t="s">
        <v>458</v>
      </c>
    </row>
    <row r="231">
      <c r="A231" s="2" t="s">
        <v>2</v>
      </c>
      <c r="B231" s="6" t="s">
        <v>1007</v>
      </c>
      <c r="C231" s="8" t="s">
        <v>466</v>
      </c>
      <c r="D231" s="2" t="s">
        <v>31</v>
      </c>
      <c r="E231" s="6" t="s">
        <v>464</v>
      </c>
      <c r="F231" s="2" t="s">
        <v>39</v>
      </c>
      <c r="G231" s="2" t="s">
        <v>21</v>
      </c>
      <c r="H231" s="2" t="s">
        <v>42</v>
      </c>
      <c r="I231" s="2" t="s">
        <v>43</v>
      </c>
      <c r="J231" s="2" t="s">
        <v>45</v>
      </c>
      <c r="K231" s="2" t="s">
        <v>46</v>
      </c>
      <c r="L231" s="2" t="s">
        <v>47</v>
      </c>
      <c r="M231" s="8" t="s">
        <v>465</v>
      </c>
    </row>
    <row r="232">
      <c r="A232" s="2" t="s">
        <v>2</v>
      </c>
      <c r="B232" s="6" t="s">
        <v>1012</v>
      </c>
      <c r="C232" s="8" t="s">
        <v>469</v>
      </c>
      <c r="D232" s="2" t="s">
        <v>31</v>
      </c>
      <c r="E232" s="6" t="s">
        <v>258</v>
      </c>
      <c r="F232" s="2" t="s">
        <v>39</v>
      </c>
      <c r="G232" s="2" t="s">
        <v>21</v>
      </c>
      <c r="H232" s="2" t="s">
        <v>42</v>
      </c>
      <c r="I232" s="2" t="s">
        <v>43</v>
      </c>
      <c r="J232" s="2" t="s">
        <v>45</v>
      </c>
      <c r="K232" s="2" t="s">
        <v>46</v>
      </c>
      <c r="L232" s="2" t="s">
        <v>47</v>
      </c>
      <c r="M232" s="8" t="s">
        <v>468</v>
      </c>
    </row>
    <row r="233">
      <c r="A233" s="2" t="s">
        <v>2</v>
      </c>
      <c r="B233" s="6" t="s">
        <v>1013</v>
      </c>
      <c r="C233" s="8" t="s">
        <v>475</v>
      </c>
      <c r="D233" s="2" t="s">
        <v>31</v>
      </c>
      <c r="E233" s="6" t="s">
        <v>291</v>
      </c>
      <c r="F233" s="2" t="s">
        <v>39</v>
      </c>
      <c r="G233" s="2" t="s">
        <v>21</v>
      </c>
      <c r="H233" s="2" t="s">
        <v>42</v>
      </c>
      <c r="I233" s="2" t="s">
        <v>43</v>
      </c>
      <c r="J233" s="2" t="s">
        <v>45</v>
      </c>
      <c r="K233" s="2" t="s">
        <v>46</v>
      </c>
      <c r="L233" s="2" t="s">
        <v>47</v>
      </c>
      <c r="M233" s="8" t="s">
        <v>474</v>
      </c>
    </row>
    <row r="234">
      <c r="A234" s="2" t="s">
        <v>2</v>
      </c>
      <c r="B234" s="6" t="s">
        <v>1018</v>
      </c>
      <c r="C234" s="8" t="s">
        <v>481</v>
      </c>
      <c r="D234" s="2" t="s">
        <v>31</v>
      </c>
      <c r="E234" s="6" t="s">
        <v>478</v>
      </c>
      <c r="F234" s="2" t="s">
        <v>39</v>
      </c>
      <c r="G234" s="2" t="s">
        <v>21</v>
      </c>
      <c r="H234" s="2" t="s">
        <v>42</v>
      </c>
      <c r="I234" s="2" t="s">
        <v>43</v>
      </c>
      <c r="J234" s="2" t="s">
        <v>45</v>
      </c>
      <c r="K234" s="2" t="s">
        <v>46</v>
      </c>
      <c r="L234" s="2" t="s">
        <v>47</v>
      </c>
      <c r="M234" s="8" t="s">
        <v>479</v>
      </c>
    </row>
    <row r="235">
      <c r="A235" s="2" t="s">
        <v>2</v>
      </c>
      <c r="B235" s="20" t="s">
        <v>1021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2"/>
    </row>
    <row r="236">
      <c r="A236" s="2" t="s">
        <v>2</v>
      </c>
      <c r="B236" s="2" t="s">
        <v>898</v>
      </c>
      <c r="C236" s="19" t="s">
        <v>899</v>
      </c>
      <c r="D236" s="2" t="s">
        <v>28</v>
      </c>
      <c r="E236" s="6" t="s">
        <v>896</v>
      </c>
      <c r="F236" s="2" t="s">
        <v>39</v>
      </c>
      <c r="G236" s="2" t="s">
        <v>21</v>
      </c>
      <c r="H236" s="2" t="s">
        <v>42</v>
      </c>
      <c r="I236" s="2" t="s">
        <v>43</v>
      </c>
      <c r="J236" s="2" t="s">
        <v>45</v>
      </c>
      <c r="K236" s="2" t="s">
        <v>46</v>
      </c>
      <c r="L236" s="2" t="s">
        <v>47</v>
      </c>
      <c r="M236" s="21" t="s">
        <v>902</v>
      </c>
    </row>
    <row r="237">
      <c r="A237" s="2" t="s">
        <v>2</v>
      </c>
      <c r="B237" s="2" t="s">
        <v>903</v>
      </c>
      <c r="C237" s="8" t="s">
        <v>1025</v>
      </c>
      <c r="D237" s="2" t="s">
        <v>31</v>
      </c>
      <c r="E237" s="2" t="s">
        <v>199</v>
      </c>
      <c r="F237" s="2" t="s">
        <v>39</v>
      </c>
      <c r="G237" s="2" t="s">
        <v>21</v>
      </c>
      <c r="H237" s="2" t="s">
        <v>42</v>
      </c>
      <c r="I237" s="2" t="s">
        <v>43</v>
      </c>
      <c r="J237" s="2" t="s">
        <v>45</v>
      </c>
      <c r="K237" s="2" t="s">
        <v>46</v>
      </c>
      <c r="L237" s="2" t="s">
        <v>47</v>
      </c>
      <c r="M237" s="21" t="s">
        <v>902</v>
      </c>
    </row>
    <row r="238">
      <c r="A238" s="2" t="s">
        <v>2</v>
      </c>
      <c r="B238" s="2" t="s">
        <v>904</v>
      </c>
      <c r="C238" s="8" t="s">
        <v>905</v>
      </c>
      <c r="D238" s="2" t="s">
        <v>31</v>
      </c>
      <c r="E238" s="2" t="s">
        <v>69</v>
      </c>
      <c r="F238" s="2" t="s">
        <v>39</v>
      </c>
      <c r="G238" s="2" t="s">
        <v>21</v>
      </c>
      <c r="H238" s="2" t="s">
        <v>42</v>
      </c>
      <c r="I238" s="2" t="s">
        <v>43</v>
      </c>
      <c r="J238" s="2" t="s">
        <v>45</v>
      </c>
      <c r="K238" s="2" t="s">
        <v>46</v>
      </c>
      <c r="L238" s="2" t="s">
        <v>47</v>
      </c>
      <c r="M238" s="21" t="s">
        <v>902</v>
      </c>
    </row>
    <row r="239">
      <c r="A239" s="2" t="s">
        <v>2</v>
      </c>
      <c r="B239" s="2" t="s">
        <v>908</v>
      </c>
      <c r="C239" s="19" t="s">
        <v>909</v>
      </c>
      <c r="D239" s="2" t="s">
        <v>31</v>
      </c>
      <c r="E239" s="2" t="s">
        <v>265</v>
      </c>
      <c r="F239" s="2" t="s">
        <v>39</v>
      </c>
      <c r="G239" s="2" t="s">
        <v>21</v>
      </c>
      <c r="H239" s="2" t="s">
        <v>42</v>
      </c>
      <c r="I239" s="2" t="s">
        <v>43</v>
      </c>
      <c r="J239" s="2" t="s">
        <v>45</v>
      </c>
      <c r="K239" s="2" t="s">
        <v>46</v>
      </c>
      <c r="L239" s="2" t="s">
        <v>47</v>
      </c>
      <c r="M239" s="21" t="s">
        <v>902</v>
      </c>
    </row>
    <row r="240">
      <c r="A240" s="2" t="s">
        <v>2</v>
      </c>
      <c r="B240" s="2" t="s">
        <v>911</v>
      </c>
      <c r="C240" s="19" t="s">
        <v>912</v>
      </c>
      <c r="D240" s="2" t="s">
        <v>31</v>
      </c>
      <c r="E240" s="2" t="s">
        <v>66</v>
      </c>
      <c r="F240" s="2" t="s">
        <v>39</v>
      </c>
      <c r="G240" s="2" t="s">
        <v>21</v>
      </c>
      <c r="H240" s="2" t="s">
        <v>42</v>
      </c>
      <c r="I240" s="2" t="s">
        <v>43</v>
      </c>
      <c r="J240" s="2" t="s">
        <v>45</v>
      </c>
      <c r="K240" s="2" t="s">
        <v>46</v>
      </c>
      <c r="L240" s="2" t="s">
        <v>47</v>
      </c>
      <c r="M240" s="21" t="s">
        <v>902</v>
      </c>
    </row>
    <row r="241">
      <c r="A241" s="2" t="s">
        <v>2</v>
      </c>
      <c r="B241" s="2" t="s">
        <v>915</v>
      </c>
      <c r="C241" s="19" t="s">
        <v>916</v>
      </c>
      <c r="D241" s="2" t="s">
        <v>31</v>
      </c>
      <c r="E241" s="2" t="s">
        <v>78</v>
      </c>
      <c r="F241" s="2" t="s">
        <v>39</v>
      </c>
      <c r="G241" s="2" t="s">
        <v>21</v>
      </c>
      <c r="H241" s="2" t="s">
        <v>42</v>
      </c>
      <c r="I241" s="2" t="s">
        <v>43</v>
      </c>
      <c r="J241" s="2" t="s">
        <v>45</v>
      </c>
      <c r="K241" s="2" t="s">
        <v>46</v>
      </c>
      <c r="L241" s="2" t="s">
        <v>47</v>
      </c>
      <c r="M241" s="21" t="s">
        <v>902</v>
      </c>
    </row>
    <row r="242">
      <c r="A242" s="2" t="s">
        <v>2</v>
      </c>
      <c r="B242" s="2" t="s">
        <v>917</v>
      </c>
      <c r="C242" s="19" t="s">
        <v>918</v>
      </c>
      <c r="D242" s="2" t="s">
        <v>31</v>
      </c>
      <c r="E242" s="2" t="s">
        <v>49</v>
      </c>
      <c r="F242" s="2" t="s">
        <v>39</v>
      </c>
      <c r="G242" s="2" t="s">
        <v>21</v>
      </c>
      <c r="H242" s="2" t="s">
        <v>42</v>
      </c>
      <c r="I242" s="2" t="s">
        <v>43</v>
      </c>
      <c r="J242" s="2" t="s">
        <v>45</v>
      </c>
      <c r="K242" s="2" t="s">
        <v>46</v>
      </c>
      <c r="L242" s="2" t="s">
        <v>47</v>
      </c>
      <c r="M242" s="21" t="s">
        <v>902</v>
      </c>
    </row>
    <row r="243">
      <c r="A243" s="2" t="s">
        <v>2</v>
      </c>
      <c r="B243" s="2" t="s">
        <v>920</v>
      </c>
      <c r="C243" s="19" t="s">
        <v>921</v>
      </c>
      <c r="D243" s="2" t="s">
        <v>31</v>
      </c>
      <c r="E243" s="2" t="s">
        <v>478</v>
      </c>
      <c r="F243" s="2" t="s">
        <v>39</v>
      </c>
      <c r="G243" s="2" t="s">
        <v>21</v>
      </c>
      <c r="H243" s="2" t="s">
        <v>42</v>
      </c>
      <c r="I243" s="2" t="s">
        <v>43</v>
      </c>
      <c r="J243" s="2" t="s">
        <v>45</v>
      </c>
      <c r="K243" s="2" t="s">
        <v>46</v>
      </c>
      <c r="L243" s="2" t="s">
        <v>47</v>
      </c>
      <c r="M243" s="21" t="s">
        <v>902</v>
      </c>
    </row>
    <row r="244">
      <c r="A244" s="2" t="s">
        <v>2</v>
      </c>
      <c r="B244" s="2" t="s">
        <v>922</v>
      </c>
      <c r="C244" s="19" t="s">
        <v>923</v>
      </c>
      <c r="D244" s="2" t="s">
        <v>31</v>
      </c>
      <c r="E244" s="2" t="s">
        <v>124</v>
      </c>
      <c r="F244" s="2" t="s">
        <v>39</v>
      </c>
      <c r="G244" s="2" t="s">
        <v>21</v>
      </c>
      <c r="H244" s="2" t="s">
        <v>42</v>
      </c>
      <c r="I244" s="2" t="s">
        <v>43</v>
      </c>
      <c r="J244" s="2" t="s">
        <v>45</v>
      </c>
      <c r="K244" s="2" t="s">
        <v>46</v>
      </c>
      <c r="L244" s="2" t="s">
        <v>47</v>
      </c>
      <c r="M244" s="21" t="s">
        <v>902</v>
      </c>
    </row>
    <row r="245">
      <c r="A245" s="2" t="s">
        <v>2</v>
      </c>
      <c r="B245" s="2" t="s">
        <v>925</v>
      </c>
      <c r="C245" s="19" t="s">
        <v>926</v>
      </c>
      <c r="D245" s="2" t="s">
        <v>31</v>
      </c>
      <c r="E245" s="2" t="s">
        <v>405</v>
      </c>
      <c r="F245" s="2" t="s">
        <v>39</v>
      </c>
      <c r="G245" s="2" t="s">
        <v>21</v>
      </c>
      <c r="H245" s="2" t="s">
        <v>42</v>
      </c>
      <c r="I245" s="2" t="s">
        <v>43</v>
      </c>
      <c r="J245" s="2" t="s">
        <v>45</v>
      </c>
      <c r="K245" s="2" t="s">
        <v>46</v>
      </c>
      <c r="L245" s="2" t="s">
        <v>47</v>
      </c>
      <c r="M245" s="21" t="s">
        <v>902</v>
      </c>
    </row>
    <row r="246">
      <c r="A246" s="2" t="s">
        <v>2</v>
      </c>
      <c r="B246" s="2" t="s">
        <v>927</v>
      </c>
      <c r="C246" s="19" t="s">
        <v>928</v>
      </c>
      <c r="D246" s="2" t="s">
        <v>31</v>
      </c>
      <c r="E246" s="2" t="s">
        <v>164</v>
      </c>
      <c r="F246" s="2" t="s">
        <v>39</v>
      </c>
      <c r="G246" s="2" t="s">
        <v>21</v>
      </c>
      <c r="H246" s="2" t="s">
        <v>42</v>
      </c>
      <c r="I246" s="2" t="s">
        <v>43</v>
      </c>
      <c r="J246" s="2" t="s">
        <v>45</v>
      </c>
      <c r="K246" s="2" t="s">
        <v>46</v>
      </c>
      <c r="L246" s="2" t="s">
        <v>47</v>
      </c>
      <c r="M246" s="21" t="s">
        <v>902</v>
      </c>
    </row>
    <row r="247">
      <c r="A247" s="2" t="s">
        <v>2</v>
      </c>
      <c r="B247" s="2" t="s">
        <v>930</v>
      </c>
      <c r="C247" s="19" t="s">
        <v>931</v>
      </c>
      <c r="D247" s="2" t="s">
        <v>31</v>
      </c>
      <c r="E247" s="2" t="s">
        <v>434</v>
      </c>
      <c r="F247" s="2" t="s">
        <v>39</v>
      </c>
      <c r="G247" s="2" t="s">
        <v>21</v>
      </c>
      <c r="H247" s="2" t="s">
        <v>42</v>
      </c>
      <c r="I247" s="2" t="s">
        <v>43</v>
      </c>
      <c r="J247" s="2" t="s">
        <v>45</v>
      </c>
      <c r="K247" s="2" t="s">
        <v>46</v>
      </c>
      <c r="L247" s="2" t="s">
        <v>47</v>
      </c>
      <c r="M247" s="21" t="s">
        <v>902</v>
      </c>
    </row>
    <row r="248">
      <c r="A248" s="2" t="s">
        <v>2</v>
      </c>
      <c r="B248" s="2" t="s">
        <v>932</v>
      </c>
      <c r="C248" s="8" t="s">
        <v>933</v>
      </c>
      <c r="D248" s="2" t="s">
        <v>31</v>
      </c>
      <c r="E248" s="2" t="s">
        <v>184</v>
      </c>
      <c r="F248" s="2" t="s">
        <v>39</v>
      </c>
      <c r="G248" s="2" t="s">
        <v>21</v>
      </c>
      <c r="H248" s="2" t="s">
        <v>42</v>
      </c>
      <c r="I248" s="2" t="s">
        <v>43</v>
      </c>
      <c r="J248" s="2" t="s">
        <v>45</v>
      </c>
      <c r="K248" s="2" t="s">
        <v>46</v>
      </c>
      <c r="L248" s="2" t="s">
        <v>47</v>
      </c>
      <c r="M248" s="21" t="s">
        <v>902</v>
      </c>
    </row>
    <row r="249">
      <c r="A249" s="2" t="s">
        <v>2</v>
      </c>
      <c r="B249" s="2" t="s">
        <v>935</v>
      </c>
      <c r="C249" s="19" t="s">
        <v>936</v>
      </c>
      <c r="D249" s="2" t="s">
        <v>31</v>
      </c>
      <c r="E249" s="2" t="s">
        <v>390</v>
      </c>
      <c r="F249" s="2" t="s">
        <v>39</v>
      </c>
      <c r="G249" s="2" t="s">
        <v>21</v>
      </c>
      <c r="H249" s="2" t="s">
        <v>42</v>
      </c>
      <c r="I249" s="2" t="s">
        <v>43</v>
      </c>
      <c r="J249" s="2" t="s">
        <v>45</v>
      </c>
      <c r="K249" s="2" t="s">
        <v>46</v>
      </c>
      <c r="L249" s="2" t="s">
        <v>47</v>
      </c>
      <c r="M249" s="21" t="s">
        <v>902</v>
      </c>
    </row>
    <row r="250">
      <c r="A250" s="2" t="s">
        <v>2</v>
      </c>
      <c r="B250" s="2" t="s">
        <v>938</v>
      </c>
      <c r="C250" s="19" t="s">
        <v>939</v>
      </c>
      <c r="D250" s="2" t="s">
        <v>31</v>
      </c>
      <c r="E250" s="2" t="s">
        <v>372</v>
      </c>
      <c r="F250" s="2" t="s">
        <v>39</v>
      </c>
      <c r="G250" s="2" t="s">
        <v>21</v>
      </c>
      <c r="H250" s="2" t="s">
        <v>42</v>
      </c>
      <c r="I250" s="2" t="s">
        <v>43</v>
      </c>
      <c r="J250" s="2" t="s">
        <v>45</v>
      </c>
      <c r="K250" s="2" t="s">
        <v>46</v>
      </c>
      <c r="L250" s="2" t="s">
        <v>47</v>
      </c>
      <c r="M250" s="21" t="s">
        <v>902</v>
      </c>
    </row>
    <row r="251">
      <c r="A251" s="2" t="s">
        <v>2</v>
      </c>
      <c r="B251" s="2" t="s">
        <v>949</v>
      </c>
      <c r="C251" s="8" t="s">
        <v>1061</v>
      </c>
      <c r="D251" s="2" t="s">
        <v>31</v>
      </c>
      <c r="E251" s="2" t="s">
        <v>104</v>
      </c>
      <c r="F251" s="2" t="s">
        <v>39</v>
      </c>
      <c r="G251" s="2" t="s">
        <v>21</v>
      </c>
      <c r="H251" s="2" t="s">
        <v>42</v>
      </c>
      <c r="I251" s="2" t="s">
        <v>43</v>
      </c>
      <c r="J251" s="2" t="s">
        <v>598</v>
      </c>
      <c r="K251" s="2" t="s">
        <v>46</v>
      </c>
      <c r="L251" s="2" t="s">
        <v>47</v>
      </c>
      <c r="M251" s="2" t="s">
        <v>902</v>
      </c>
    </row>
    <row r="252">
      <c r="A252" s="2" t="s">
        <v>2</v>
      </c>
      <c r="B252" s="2" t="s">
        <v>951</v>
      </c>
      <c r="C252" s="19" t="s">
        <v>952</v>
      </c>
      <c r="D252" s="2" t="s">
        <v>31</v>
      </c>
      <c r="E252" s="2" t="s">
        <v>92</v>
      </c>
      <c r="F252" s="2" t="s">
        <v>39</v>
      </c>
      <c r="G252" s="2" t="s">
        <v>21</v>
      </c>
      <c r="H252" s="2" t="s">
        <v>42</v>
      </c>
      <c r="I252" s="2" t="s">
        <v>43</v>
      </c>
      <c r="J252" s="2" t="s">
        <v>598</v>
      </c>
      <c r="K252" s="2" t="s">
        <v>46</v>
      </c>
      <c r="L252" s="2" t="s">
        <v>47</v>
      </c>
      <c r="M252" s="2" t="s">
        <v>902</v>
      </c>
    </row>
    <row r="253">
      <c r="A253" s="2" t="s">
        <v>2</v>
      </c>
      <c r="B253" s="2" t="s">
        <v>953</v>
      </c>
      <c r="C253" s="19" t="s">
        <v>1067</v>
      </c>
      <c r="D253" s="2" t="s">
        <v>31</v>
      </c>
      <c r="E253" s="2" t="s">
        <v>84</v>
      </c>
      <c r="F253" s="2" t="s">
        <v>39</v>
      </c>
      <c r="G253" s="2" t="s">
        <v>21</v>
      </c>
      <c r="H253" s="2" t="s">
        <v>42</v>
      </c>
      <c r="I253" s="2" t="s">
        <v>43</v>
      </c>
      <c r="J253" s="2" t="s">
        <v>598</v>
      </c>
      <c r="K253" s="2" t="s">
        <v>46</v>
      </c>
      <c r="L253" s="2" t="s">
        <v>47</v>
      </c>
      <c r="M253" s="2" t="s">
        <v>902</v>
      </c>
    </row>
    <row r="254">
      <c r="A254" s="2" t="s">
        <v>2</v>
      </c>
      <c r="B254" s="2" t="s">
        <v>955</v>
      </c>
      <c r="C254" s="19" t="s">
        <v>956</v>
      </c>
      <c r="D254" s="2" t="s">
        <v>31</v>
      </c>
      <c r="E254" s="2" t="s">
        <v>181</v>
      </c>
      <c r="F254" s="2" t="s">
        <v>39</v>
      </c>
      <c r="G254" s="2" t="s">
        <v>21</v>
      </c>
      <c r="H254" s="2" t="s">
        <v>42</v>
      </c>
      <c r="I254" s="2" t="s">
        <v>43</v>
      </c>
      <c r="J254" s="2" t="s">
        <v>598</v>
      </c>
      <c r="K254" s="2" t="s">
        <v>46</v>
      </c>
      <c r="L254" s="2" t="s">
        <v>47</v>
      </c>
      <c r="M254" s="2" t="s">
        <v>902</v>
      </c>
    </row>
    <row r="255">
      <c r="A255" s="2" t="s">
        <v>2</v>
      </c>
      <c r="B255" s="2" t="s">
        <v>958</v>
      </c>
      <c r="C255" s="19" t="s">
        <v>1071</v>
      </c>
      <c r="D255" s="2" t="s">
        <v>31</v>
      </c>
      <c r="E255" s="2" t="s">
        <v>142</v>
      </c>
      <c r="F255" s="2" t="s">
        <v>39</v>
      </c>
      <c r="G255" s="2" t="s">
        <v>21</v>
      </c>
      <c r="H255" s="2" t="s">
        <v>42</v>
      </c>
      <c r="I255" s="2" t="s">
        <v>43</v>
      </c>
      <c r="J255" s="2" t="s">
        <v>598</v>
      </c>
      <c r="K255" s="2" t="s">
        <v>46</v>
      </c>
      <c r="L255" s="2" t="s">
        <v>47</v>
      </c>
      <c r="M255" s="2" t="s">
        <v>902</v>
      </c>
    </row>
    <row r="256">
      <c r="A256" s="2" t="s">
        <v>2</v>
      </c>
      <c r="B256" s="2" t="s">
        <v>959</v>
      </c>
      <c r="C256" s="8" t="s">
        <v>1072</v>
      </c>
      <c r="D256" s="2" t="s">
        <v>31</v>
      </c>
      <c r="E256" s="2" t="s">
        <v>706</v>
      </c>
      <c r="F256" s="2" t="s">
        <v>39</v>
      </c>
      <c r="G256" s="2" t="s">
        <v>21</v>
      </c>
      <c r="H256" s="2" t="s">
        <v>42</v>
      </c>
      <c r="I256" s="2" t="s">
        <v>43</v>
      </c>
      <c r="J256" s="2" t="s">
        <v>598</v>
      </c>
      <c r="K256" s="2" t="s">
        <v>46</v>
      </c>
      <c r="L256" s="2" t="s">
        <v>47</v>
      </c>
      <c r="M256" s="2" t="s">
        <v>902</v>
      </c>
    </row>
    <row r="257">
      <c r="A257" s="2" t="s">
        <v>2</v>
      </c>
      <c r="B257" s="2" t="s">
        <v>960</v>
      </c>
      <c r="C257" s="19" t="s">
        <v>961</v>
      </c>
      <c r="D257" s="2" t="s">
        <v>31</v>
      </c>
      <c r="E257" s="2" t="s">
        <v>421</v>
      </c>
      <c r="F257" s="2" t="s">
        <v>39</v>
      </c>
      <c r="G257" s="2" t="s">
        <v>21</v>
      </c>
      <c r="H257" s="2" t="s">
        <v>42</v>
      </c>
      <c r="I257" s="2" t="s">
        <v>43</v>
      </c>
      <c r="J257" s="2" t="s">
        <v>598</v>
      </c>
      <c r="K257" s="2" t="s">
        <v>46</v>
      </c>
      <c r="L257" s="2" t="s">
        <v>47</v>
      </c>
      <c r="M257" s="2" t="s">
        <v>902</v>
      </c>
    </row>
    <row r="258">
      <c r="A258" s="2" t="s">
        <v>2</v>
      </c>
      <c r="B258" s="2" t="s">
        <v>965</v>
      </c>
      <c r="C258" s="19" t="s">
        <v>1077</v>
      </c>
      <c r="D258" s="2" t="s">
        <v>31</v>
      </c>
      <c r="E258" s="2" t="s">
        <v>233</v>
      </c>
      <c r="F258" s="2" t="s">
        <v>39</v>
      </c>
      <c r="G258" s="2" t="s">
        <v>21</v>
      </c>
      <c r="H258" s="2" t="s">
        <v>42</v>
      </c>
      <c r="I258" s="2" t="s">
        <v>43</v>
      </c>
      <c r="J258" s="2" t="s">
        <v>598</v>
      </c>
      <c r="K258" s="2" t="s">
        <v>46</v>
      </c>
      <c r="L258" s="2" t="s">
        <v>47</v>
      </c>
      <c r="M258" s="2" t="s">
        <v>902</v>
      </c>
    </row>
    <row r="259">
      <c r="A259" s="2" t="s">
        <v>2</v>
      </c>
      <c r="B259" s="2" t="s">
        <v>966</v>
      </c>
      <c r="C259" s="19" t="s">
        <v>967</v>
      </c>
      <c r="D259" s="2" t="s">
        <v>31</v>
      </c>
      <c r="E259" s="2" t="s">
        <v>1082</v>
      </c>
      <c r="F259" s="2" t="s">
        <v>39</v>
      </c>
      <c r="G259" s="2" t="s">
        <v>21</v>
      </c>
      <c r="H259" s="2" t="s">
        <v>42</v>
      </c>
      <c r="I259" s="2" t="s">
        <v>43</v>
      </c>
      <c r="J259" s="2" t="s">
        <v>598</v>
      </c>
      <c r="K259" s="2" t="s">
        <v>46</v>
      </c>
      <c r="L259" s="2" t="s">
        <v>47</v>
      </c>
      <c r="M259" s="2" t="s">
        <v>902</v>
      </c>
    </row>
    <row r="260">
      <c r="A260" s="2" t="s">
        <v>2</v>
      </c>
      <c r="B260" s="2" t="s">
        <v>970</v>
      </c>
      <c r="C260" s="19" t="s">
        <v>1085</v>
      </c>
      <c r="D260" s="2" t="s">
        <v>31</v>
      </c>
      <c r="E260" s="2" t="s">
        <v>240</v>
      </c>
      <c r="F260" s="2" t="s">
        <v>39</v>
      </c>
      <c r="G260" s="2" t="s">
        <v>21</v>
      </c>
      <c r="H260" s="2" t="s">
        <v>42</v>
      </c>
      <c r="I260" s="2" t="s">
        <v>43</v>
      </c>
      <c r="J260" s="2" t="s">
        <v>598</v>
      </c>
      <c r="K260" s="2" t="s">
        <v>46</v>
      </c>
      <c r="L260" s="2" t="s">
        <v>47</v>
      </c>
      <c r="M260" s="2" t="s">
        <v>902</v>
      </c>
    </row>
    <row r="261">
      <c r="A261" s="2" t="s">
        <v>2</v>
      </c>
      <c r="B261" s="2" t="s">
        <v>972</v>
      </c>
      <c r="C261" s="19" t="s">
        <v>973</v>
      </c>
      <c r="D261" s="2" t="s">
        <v>31</v>
      </c>
      <c r="E261" s="2" t="s">
        <v>211</v>
      </c>
      <c r="F261" s="2" t="s">
        <v>39</v>
      </c>
      <c r="G261" s="2" t="s">
        <v>21</v>
      </c>
      <c r="H261" s="2" t="s">
        <v>42</v>
      </c>
      <c r="I261" s="2" t="s">
        <v>43</v>
      </c>
      <c r="J261" s="2" t="s">
        <v>598</v>
      </c>
      <c r="K261" s="2" t="s">
        <v>46</v>
      </c>
      <c r="L261" s="2" t="s">
        <v>47</v>
      </c>
      <c r="M261" s="2" t="s">
        <v>902</v>
      </c>
    </row>
    <row r="262">
      <c r="A262" s="2" t="s">
        <v>2</v>
      </c>
      <c r="B262" s="2" t="s">
        <v>975</v>
      </c>
      <c r="C262" s="19" t="s">
        <v>976</v>
      </c>
      <c r="D262" s="2" t="s">
        <v>31</v>
      </c>
      <c r="E262" s="2" t="s">
        <v>270</v>
      </c>
      <c r="F262" s="2" t="s">
        <v>39</v>
      </c>
      <c r="G262" s="2" t="s">
        <v>21</v>
      </c>
      <c r="H262" s="2" t="s">
        <v>42</v>
      </c>
      <c r="I262" s="2" t="s">
        <v>43</v>
      </c>
      <c r="J262" s="2" t="s">
        <v>598</v>
      </c>
      <c r="K262" s="2" t="s">
        <v>46</v>
      </c>
      <c r="L262" s="2" t="s">
        <v>47</v>
      </c>
      <c r="M262" s="2" t="s">
        <v>902</v>
      </c>
    </row>
    <row r="263">
      <c r="A263" s="2" t="s">
        <v>2</v>
      </c>
      <c r="B263" s="2" t="s">
        <v>979</v>
      </c>
      <c r="C263" s="19" t="s">
        <v>928</v>
      </c>
      <c r="D263" s="2" t="s">
        <v>31</v>
      </c>
      <c r="E263" s="2" t="s">
        <v>164</v>
      </c>
      <c r="F263" s="2" t="s">
        <v>39</v>
      </c>
      <c r="G263" s="2" t="s">
        <v>21</v>
      </c>
      <c r="H263" s="2" t="s">
        <v>42</v>
      </c>
      <c r="I263" s="2" t="s">
        <v>43</v>
      </c>
      <c r="J263" s="2" t="s">
        <v>598</v>
      </c>
      <c r="K263" s="2" t="s">
        <v>46</v>
      </c>
      <c r="L263" s="2" t="s">
        <v>47</v>
      </c>
      <c r="M263" s="2" t="s">
        <v>902</v>
      </c>
    </row>
    <row r="264">
      <c r="A264" s="2" t="s">
        <v>2</v>
      </c>
      <c r="B264" s="2" t="s">
        <v>981</v>
      </c>
      <c r="C264" s="19" t="s">
        <v>982</v>
      </c>
      <c r="D264" s="2" t="s">
        <v>31</v>
      </c>
      <c r="E264" s="2" t="s">
        <v>193</v>
      </c>
      <c r="F264" s="2" t="s">
        <v>39</v>
      </c>
      <c r="G264" s="2" t="s">
        <v>21</v>
      </c>
      <c r="H264" s="2" t="s">
        <v>42</v>
      </c>
      <c r="I264" s="2" t="s">
        <v>43</v>
      </c>
      <c r="J264" s="2" t="s">
        <v>598</v>
      </c>
      <c r="K264" s="2" t="s">
        <v>46</v>
      </c>
      <c r="L264" s="2" t="s">
        <v>47</v>
      </c>
      <c r="M264" s="2" t="s">
        <v>902</v>
      </c>
    </row>
    <row r="265">
      <c r="A265" s="2" t="s">
        <v>2</v>
      </c>
      <c r="B265" s="2" t="s">
        <v>983</v>
      </c>
      <c r="C265" s="19" t="s">
        <v>984</v>
      </c>
      <c r="D265" s="2" t="s">
        <v>31</v>
      </c>
      <c r="E265" s="2" t="s">
        <v>411</v>
      </c>
      <c r="F265" s="2" t="s">
        <v>39</v>
      </c>
      <c r="G265" s="2" t="s">
        <v>21</v>
      </c>
      <c r="H265" s="2" t="s">
        <v>42</v>
      </c>
      <c r="I265" s="2" t="s">
        <v>43</v>
      </c>
      <c r="J265" s="2" t="s">
        <v>598</v>
      </c>
      <c r="K265" s="2" t="s">
        <v>46</v>
      </c>
      <c r="L265" s="2" t="s">
        <v>47</v>
      </c>
      <c r="M265" s="2" t="s">
        <v>902</v>
      </c>
    </row>
    <row r="266">
      <c r="A266" s="2" t="s">
        <v>2</v>
      </c>
      <c r="B266" s="2" t="s">
        <v>987</v>
      </c>
      <c r="C266" s="8" t="s">
        <v>988</v>
      </c>
      <c r="D266" s="2" t="s">
        <v>31</v>
      </c>
      <c r="E266" s="2" t="s">
        <v>429</v>
      </c>
      <c r="F266" s="2" t="s">
        <v>39</v>
      </c>
      <c r="G266" s="2" t="s">
        <v>21</v>
      </c>
      <c r="H266" s="2" t="s">
        <v>42</v>
      </c>
      <c r="I266" s="2" t="s">
        <v>43</v>
      </c>
      <c r="J266" s="2" t="s">
        <v>598</v>
      </c>
      <c r="K266" s="2" t="s">
        <v>46</v>
      </c>
      <c r="L266" s="2" t="s">
        <v>47</v>
      </c>
      <c r="M266" s="22" t="s">
        <v>902</v>
      </c>
    </row>
    <row r="267">
      <c r="A267" s="2" t="s">
        <v>2</v>
      </c>
      <c r="B267" s="2" t="s">
        <v>991</v>
      </c>
      <c r="C267" s="8" t="s">
        <v>1096</v>
      </c>
      <c r="D267" s="2" t="s">
        <v>31</v>
      </c>
      <c r="E267" s="2" t="s">
        <v>258</v>
      </c>
      <c r="F267" s="2" t="s">
        <v>39</v>
      </c>
      <c r="G267" s="2" t="s">
        <v>21</v>
      </c>
      <c r="H267" s="2" t="s">
        <v>42</v>
      </c>
      <c r="I267" s="2" t="s">
        <v>43</v>
      </c>
      <c r="J267" s="2" t="s">
        <v>598</v>
      </c>
      <c r="K267" s="2" t="s">
        <v>46</v>
      </c>
      <c r="L267" s="2" t="s">
        <v>47</v>
      </c>
      <c r="M267" s="2" t="s">
        <v>902</v>
      </c>
    </row>
    <row r="268">
      <c r="A268" s="2" t="s">
        <v>2</v>
      </c>
      <c r="B268" s="2" t="s">
        <v>993</v>
      </c>
      <c r="C268" s="19" t="s">
        <v>994</v>
      </c>
      <c r="D268" s="2" t="s">
        <v>31</v>
      </c>
      <c r="E268" s="2" t="s">
        <v>218</v>
      </c>
      <c r="F268" s="2" t="s">
        <v>39</v>
      </c>
      <c r="G268" s="2" t="s">
        <v>21</v>
      </c>
      <c r="H268" s="2" t="s">
        <v>42</v>
      </c>
      <c r="I268" s="2" t="s">
        <v>43</v>
      </c>
      <c r="J268" s="2" t="s">
        <v>598</v>
      </c>
      <c r="K268" s="2" t="s">
        <v>46</v>
      </c>
      <c r="L268" s="2" t="s">
        <v>47</v>
      </c>
      <c r="M268" s="2" t="s">
        <v>902</v>
      </c>
    </row>
    <row r="269">
      <c r="A269" s="2" t="s">
        <v>2</v>
      </c>
      <c r="B269" s="2" t="s">
        <v>995</v>
      </c>
      <c r="C269" s="8" t="s">
        <v>1102</v>
      </c>
      <c r="D269" s="2" t="s">
        <v>31</v>
      </c>
      <c r="E269" s="2" t="s">
        <v>283</v>
      </c>
      <c r="F269" s="2" t="s">
        <v>39</v>
      </c>
      <c r="G269" s="2" t="s">
        <v>21</v>
      </c>
      <c r="H269" s="2" t="s">
        <v>42</v>
      </c>
      <c r="I269" s="2" t="s">
        <v>43</v>
      </c>
      <c r="J269" s="2" t="s">
        <v>598</v>
      </c>
      <c r="K269" s="2" t="s">
        <v>46</v>
      </c>
      <c r="L269" s="2" t="s">
        <v>47</v>
      </c>
      <c r="M269" s="2" t="s">
        <v>902</v>
      </c>
    </row>
    <row r="270">
      <c r="A270" s="2" t="s">
        <v>2</v>
      </c>
      <c r="B270" s="2" t="s">
        <v>997</v>
      </c>
      <c r="C270" s="8" t="s">
        <v>1106</v>
      </c>
      <c r="D270" s="2" t="s">
        <v>31</v>
      </c>
      <c r="E270" s="2" t="s">
        <v>86</v>
      </c>
      <c r="F270" s="2" t="s">
        <v>39</v>
      </c>
      <c r="G270" s="2" t="s">
        <v>21</v>
      </c>
      <c r="H270" s="2" t="s">
        <v>42</v>
      </c>
      <c r="I270" s="2" t="s">
        <v>43</v>
      </c>
      <c r="J270" s="2" t="s">
        <v>598</v>
      </c>
      <c r="K270" s="2" t="s">
        <v>46</v>
      </c>
      <c r="L270" s="2" t="s">
        <v>47</v>
      </c>
      <c r="M270" s="2" t="s">
        <v>902</v>
      </c>
    </row>
    <row r="271">
      <c r="A271" s="2" t="s">
        <v>2</v>
      </c>
      <c r="B271" s="2" t="s">
        <v>998</v>
      </c>
      <c r="C271" s="19" t="s">
        <v>999</v>
      </c>
      <c r="D271" s="2" t="s">
        <v>31</v>
      </c>
      <c r="E271" s="2" t="s">
        <v>95</v>
      </c>
      <c r="F271" s="2" t="s">
        <v>39</v>
      </c>
      <c r="G271" s="2" t="s">
        <v>21</v>
      </c>
      <c r="H271" s="2" t="s">
        <v>42</v>
      </c>
      <c r="I271" s="2" t="s">
        <v>43</v>
      </c>
      <c r="J271" s="2" t="s">
        <v>598</v>
      </c>
      <c r="K271" s="2" t="s">
        <v>46</v>
      </c>
      <c r="L271" s="2" t="s">
        <v>47</v>
      </c>
      <c r="M271" s="2" t="s">
        <v>902</v>
      </c>
    </row>
    <row r="272">
      <c r="A272" s="2" t="s">
        <v>2</v>
      </c>
      <c r="B272" s="2" t="s">
        <v>1001</v>
      </c>
      <c r="C272" s="19" t="s">
        <v>1002</v>
      </c>
      <c r="D272" s="2" t="s">
        <v>31</v>
      </c>
      <c r="E272" s="2" t="s">
        <v>322</v>
      </c>
      <c r="F272" s="2" t="s">
        <v>39</v>
      </c>
      <c r="G272" s="2" t="s">
        <v>21</v>
      </c>
      <c r="H272" s="2" t="s">
        <v>42</v>
      </c>
      <c r="I272" s="2" t="s">
        <v>43</v>
      </c>
      <c r="J272" s="2" t="s">
        <v>598</v>
      </c>
      <c r="K272" s="2" t="s">
        <v>46</v>
      </c>
      <c r="L272" s="2" t="s">
        <v>47</v>
      </c>
      <c r="M272" s="2" t="s">
        <v>902</v>
      </c>
    </row>
    <row r="273">
      <c r="A273" s="2" t="s">
        <v>2</v>
      </c>
      <c r="B273" s="2" t="s">
        <v>1004</v>
      </c>
      <c r="C273" s="19" t="s">
        <v>1005</v>
      </c>
      <c r="D273" s="2" t="s">
        <v>31</v>
      </c>
      <c r="E273" s="2" t="s">
        <v>130</v>
      </c>
      <c r="F273" s="2" t="s">
        <v>39</v>
      </c>
      <c r="G273" s="2" t="s">
        <v>21</v>
      </c>
      <c r="H273" s="2" t="s">
        <v>42</v>
      </c>
      <c r="I273" s="2" t="s">
        <v>43</v>
      </c>
      <c r="J273" s="2" t="s">
        <v>598</v>
      </c>
      <c r="K273" s="2" t="s">
        <v>46</v>
      </c>
      <c r="L273" s="2" t="s">
        <v>47</v>
      </c>
      <c r="M273" s="2" t="s">
        <v>902</v>
      </c>
    </row>
    <row r="274">
      <c r="A274" s="2" t="s">
        <v>2</v>
      </c>
      <c r="B274" s="2" t="s">
        <v>1006</v>
      </c>
      <c r="C274" s="19" t="s">
        <v>1108</v>
      </c>
      <c r="D274" s="2" t="s">
        <v>31</v>
      </c>
      <c r="E274" s="2" t="s">
        <v>56</v>
      </c>
      <c r="F274" s="2" t="s">
        <v>39</v>
      </c>
      <c r="G274" s="2" t="s">
        <v>21</v>
      </c>
      <c r="H274" s="2" t="s">
        <v>42</v>
      </c>
      <c r="I274" s="2" t="s">
        <v>43</v>
      </c>
      <c r="J274" s="2" t="s">
        <v>598</v>
      </c>
      <c r="K274" s="2" t="s">
        <v>46</v>
      </c>
      <c r="L274" s="2" t="s">
        <v>47</v>
      </c>
      <c r="M274" s="2" t="s">
        <v>902</v>
      </c>
    </row>
    <row r="275">
      <c r="A275" s="2" t="s">
        <v>2</v>
      </c>
      <c r="B275" s="2" t="s">
        <v>1008</v>
      </c>
      <c r="C275" s="19" t="s">
        <v>1009</v>
      </c>
      <c r="D275" s="2" t="s">
        <v>31</v>
      </c>
      <c r="E275" s="2" t="s">
        <v>231</v>
      </c>
      <c r="F275" s="2" t="s">
        <v>39</v>
      </c>
      <c r="G275" s="2" t="s">
        <v>21</v>
      </c>
      <c r="H275" s="2" t="s">
        <v>42</v>
      </c>
      <c r="I275" s="2" t="s">
        <v>43</v>
      </c>
      <c r="J275" s="2" t="s">
        <v>598</v>
      </c>
      <c r="K275" s="2" t="s">
        <v>46</v>
      </c>
      <c r="L275" s="2" t="s">
        <v>47</v>
      </c>
      <c r="M275" s="2" t="s">
        <v>902</v>
      </c>
    </row>
    <row r="276">
      <c r="A276" s="2" t="s">
        <v>2</v>
      </c>
      <c r="B276" s="2" t="s">
        <v>1010</v>
      </c>
      <c r="C276" s="19" t="s">
        <v>1011</v>
      </c>
      <c r="D276" s="2" t="s">
        <v>31</v>
      </c>
      <c r="E276" s="2" t="s">
        <v>238</v>
      </c>
      <c r="F276" s="2" t="s">
        <v>39</v>
      </c>
      <c r="G276" s="2" t="s">
        <v>21</v>
      </c>
      <c r="H276" s="2" t="s">
        <v>42</v>
      </c>
      <c r="I276" s="2" t="s">
        <v>43</v>
      </c>
      <c r="J276" s="2" t="s">
        <v>598</v>
      </c>
      <c r="K276" s="2" t="s">
        <v>46</v>
      </c>
      <c r="L276" s="2" t="s">
        <v>47</v>
      </c>
      <c r="M276" s="2" t="s">
        <v>902</v>
      </c>
    </row>
    <row r="277">
      <c r="A277" s="2" t="s">
        <v>2</v>
      </c>
      <c r="B277" s="2" t="s">
        <v>1014</v>
      </c>
      <c r="C277" s="19" t="s">
        <v>1015</v>
      </c>
      <c r="D277" s="2" t="s">
        <v>31</v>
      </c>
      <c r="E277" s="2" t="s">
        <v>222</v>
      </c>
      <c r="F277" s="2" t="s">
        <v>39</v>
      </c>
      <c r="G277" s="2" t="s">
        <v>21</v>
      </c>
      <c r="H277" s="2" t="s">
        <v>42</v>
      </c>
      <c r="I277" s="2" t="s">
        <v>43</v>
      </c>
      <c r="J277" s="2" t="s">
        <v>598</v>
      </c>
      <c r="K277" s="2" t="s">
        <v>46</v>
      </c>
      <c r="L277" s="2" t="s">
        <v>47</v>
      </c>
      <c r="M277" s="2" t="s">
        <v>902</v>
      </c>
    </row>
    <row r="278">
      <c r="A278" s="2" t="s">
        <v>2</v>
      </c>
      <c r="B278" s="2" t="s">
        <v>1016</v>
      </c>
      <c r="C278" s="19" t="s">
        <v>1017</v>
      </c>
      <c r="D278" s="2" t="s">
        <v>31</v>
      </c>
      <c r="E278" s="2" t="s">
        <v>401</v>
      </c>
      <c r="F278" s="2" t="s">
        <v>39</v>
      </c>
      <c r="G278" s="2" t="s">
        <v>21</v>
      </c>
      <c r="H278" s="2" t="s">
        <v>42</v>
      </c>
      <c r="I278" s="2" t="s">
        <v>43</v>
      </c>
      <c r="J278" s="2" t="s">
        <v>598</v>
      </c>
      <c r="K278" s="2" t="s">
        <v>46</v>
      </c>
      <c r="L278" s="2" t="s">
        <v>47</v>
      </c>
      <c r="M278" s="2" t="s">
        <v>902</v>
      </c>
    </row>
    <row r="279">
      <c r="A279" s="2" t="s">
        <v>2</v>
      </c>
      <c r="B279" s="2" t="s">
        <v>1019</v>
      </c>
      <c r="C279" s="19" t="s">
        <v>1020</v>
      </c>
      <c r="D279" s="2" t="s">
        <v>31</v>
      </c>
      <c r="E279" s="2" t="s">
        <v>338</v>
      </c>
      <c r="F279" s="2" t="s">
        <v>39</v>
      </c>
      <c r="G279" s="2" t="s">
        <v>21</v>
      </c>
      <c r="H279" s="2" t="s">
        <v>42</v>
      </c>
      <c r="I279" s="2" t="s">
        <v>43</v>
      </c>
      <c r="J279" s="2" t="s">
        <v>598</v>
      </c>
      <c r="K279" s="2" t="s">
        <v>46</v>
      </c>
      <c r="L279" s="2" t="s">
        <v>47</v>
      </c>
      <c r="M279" s="2" t="s">
        <v>902</v>
      </c>
    </row>
    <row r="280">
      <c r="A280" s="2" t="s">
        <v>2</v>
      </c>
      <c r="B280" s="2" t="s">
        <v>1022</v>
      </c>
      <c r="C280" s="19" t="s">
        <v>1109</v>
      </c>
      <c r="D280" s="2" t="s">
        <v>31</v>
      </c>
      <c r="E280" s="2" t="s">
        <v>101</v>
      </c>
      <c r="F280" s="2" t="s">
        <v>39</v>
      </c>
      <c r="G280" s="2" t="s">
        <v>21</v>
      </c>
      <c r="H280" s="2" t="s">
        <v>42</v>
      </c>
      <c r="I280" s="2" t="s">
        <v>43</v>
      </c>
      <c r="J280" s="2" t="s">
        <v>598</v>
      </c>
      <c r="K280" s="2" t="s">
        <v>46</v>
      </c>
      <c r="L280" s="2" t="s">
        <v>47</v>
      </c>
      <c r="M280" s="2" t="s">
        <v>902</v>
      </c>
    </row>
    <row r="281">
      <c r="A281" s="2" t="s">
        <v>2</v>
      </c>
      <c r="B281" s="2" t="s">
        <v>1023</v>
      </c>
      <c r="C281" s="19" t="s">
        <v>1024</v>
      </c>
      <c r="D281" s="2" t="s">
        <v>31</v>
      </c>
      <c r="E281" s="2" t="s">
        <v>291</v>
      </c>
      <c r="F281" s="2" t="s">
        <v>39</v>
      </c>
      <c r="G281" s="2" t="s">
        <v>21</v>
      </c>
      <c r="H281" s="2" t="s">
        <v>42</v>
      </c>
      <c r="I281" s="2" t="s">
        <v>43</v>
      </c>
      <c r="J281" s="2" t="s">
        <v>598</v>
      </c>
      <c r="K281" s="2" t="s">
        <v>46</v>
      </c>
      <c r="L281" s="2" t="s">
        <v>47</v>
      </c>
      <c r="M281" s="2" t="s">
        <v>902</v>
      </c>
    </row>
    <row r="282">
      <c r="A282" s="2" t="s">
        <v>2</v>
      </c>
      <c r="B282" s="2" t="s">
        <v>1026</v>
      </c>
      <c r="C282" s="19" t="s">
        <v>1027</v>
      </c>
      <c r="D282" s="2" t="s">
        <v>31</v>
      </c>
      <c r="E282" s="2" t="s">
        <v>301</v>
      </c>
      <c r="F282" s="2" t="s">
        <v>39</v>
      </c>
      <c r="G282" s="2" t="s">
        <v>21</v>
      </c>
      <c r="H282" s="2" t="s">
        <v>42</v>
      </c>
      <c r="I282" s="2" t="s">
        <v>43</v>
      </c>
      <c r="J282" s="2" t="s">
        <v>598</v>
      </c>
      <c r="K282" s="2" t="s">
        <v>46</v>
      </c>
      <c r="L282" s="2" t="s">
        <v>47</v>
      </c>
      <c r="M282" s="2" t="s">
        <v>902</v>
      </c>
    </row>
    <row r="283">
      <c r="A283" s="2" t="s">
        <v>2</v>
      </c>
      <c r="B283" s="2" t="s">
        <v>1028</v>
      </c>
      <c r="C283" s="19" t="s">
        <v>1029</v>
      </c>
      <c r="D283" s="2" t="s">
        <v>31</v>
      </c>
      <c r="E283" s="2" t="s">
        <v>190</v>
      </c>
      <c r="F283" s="2" t="s">
        <v>39</v>
      </c>
      <c r="G283" s="2" t="s">
        <v>21</v>
      </c>
      <c r="H283" s="2" t="s">
        <v>42</v>
      </c>
      <c r="I283" s="2" t="s">
        <v>43</v>
      </c>
      <c r="J283" s="2" t="s">
        <v>598</v>
      </c>
      <c r="K283" s="2" t="s">
        <v>46</v>
      </c>
      <c r="L283" s="2" t="s">
        <v>47</v>
      </c>
      <c r="M283" s="2" t="s">
        <v>902</v>
      </c>
    </row>
    <row r="284">
      <c r="A284" s="2" t="s">
        <v>2</v>
      </c>
      <c r="B284" s="2" t="s">
        <v>1030</v>
      </c>
      <c r="C284" s="19" t="s">
        <v>1025</v>
      </c>
      <c r="D284" s="2" t="s">
        <v>31</v>
      </c>
      <c r="E284" s="2" t="s">
        <v>199</v>
      </c>
      <c r="F284" s="2" t="s">
        <v>39</v>
      </c>
      <c r="G284" s="2" t="s">
        <v>21</v>
      </c>
      <c r="H284" s="2" t="s">
        <v>42</v>
      </c>
      <c r="I284" s="2" t="s">
        <v>43</v>
      </c>
      <c r="J284" s="2" t="s">
        <v>598</v>
      </c>
      <c r="K284" s="2" t="s">
        <v>46</v>
      </c>
      <c r="L284" s="2" t="s">
        <v>47</v>
      </c>
      <c r="M284" s="2" t="s">
        <v>902</v>
      </c>
    </row>
    <row r="285">
      <c r="A285" s="2" t="s">
        <v>2</v>
      </c>
      <c r="B285" s="2" t="s">
        <v>1031</v>
      </c>
      <c r="C285" s="19" t="s">
        <v>1110</v>
      </c>
      <c r="D285" s="2" t="s">
        <v>31</v>
      </c>
      <c r="E285" s="2" t="s">
        <v>108</v>
      </c>
      <c r="F285" s="2" t="s">
        <v>39</v>
      </c>
      <c r="G285" s="2" t="s">
        <v>21</v>
      </c>
      <c r="H285" s="2" t="s">
        <v>42</v>
      </c>
      <c r="I285" s="2" t="s">
        <v>43</v>
      </c>
      <c r="J285" s="2" t="s">
        <v>598</v>
      </c>
      <c r="K285" s="2" t="s">
        <v>46</v>
      </c>
      <c r="L285" s="2" t="s">
        <v>47</v>
      </c>
      <c r="M285" s="2" t="s">
        <v>902</v>
      </c>
    </row>
    <row r="286">
      <c r="A286" s="2" t="s">
        <v>2</v>
      </c>
      <c r="B286" s="2" t="s">
        <v>1032</v>
      </c>
      <c r="C286" s="19" t="s">
        <v>1033</v>
      </c>
      <c r="D286" s="2" t="s">
        <v>31</v>
      </c>
      <c r="E286" s="2" t="s">
        <v>117</v>
      </c>
      <c r="F286" s="2" t="s">
        <v>39</v>
      </c>
      <c r="G286" s="2" t="s">
        <v>21</v>
      </c>
      <c r="H286" s="2" t="s">
        <v>42</v>
      </c>
      <c r="I286" s="2" t="s">
        <v>43</v>
      </c>
      <c r="J286" s="2" t="s">
        <v>598</v>
      </c>
      <c r="K286" s="2" t="s">
        <v>46</v>
      </c>
      <c r="L286" s="2" t="s">
        <v>47</v>
      </c>
      <c r="M286" s="2" t="s">
        <v>902</v>
      </c>
    </row>
    <row r="287">
      <c r="A287" s="2" t="s">
        <v>2</v>
      </c>
      <c r="B287" s="2" t="s">
        <v>1034</v>
      </c>
      <c r="C287" s="19" t="s">
        <v>1035</v>
      </c>
      <c r="D287" s="2" t="s">
        <v>31</v>
      </c>
      <c r="E287" s="2" t="s">
        <v>210</v>
      </c>
      <c r="F287" s="2" t="s">
        <v>39</v>
      </c>
      <c r="G287" s="2" t="s">
        <v>21</v>
      </c>
      <c r="H287" s="2" t="s">
        <v>42</v>
      </c>
      <c r="I287" s="2" t="s">
        <v>43</v>
      </c>
      <c r="J287" s="2" t="s">
        <v>598</v>
      </c>
      <c r="K287" s="2" t="s">
        <v>46</v>
      </c>
      <c r="L287" s="2" t="s">
        <v>47</v>
      </c>
      <c r="M287" s="2" t="s">
        <v>902</v>
      </c>
    </row>
    <row r="288">
      <c r="A288" s="2" t="s">
        <v>2</v>
      </c>
      <c r="B288" s="2" t="s">
        <v>1036</v>
      </c>
      <c r="C288" s="19" t="s">
        <v>1111</v>
      </c>
      <c r="D288" s="2" t="s">
        <v>31</v>
      </c>
      <c r="E288" s="2" t="s">
        <v>341</v>
      </c>
      <c r="F288" s="2" t="s">
        <v>39</v>
      </c>
      <c r="G288" s="2" t="s">
        <v>21</v>
      </c>
      <c r="H288" s="2" t="s">
        <v>42</v>
      </c>
      <c r="I288" s="2" t="s">
        <v>43</v>
      </c>
      <c r="J288" s="2" t="s">
        <v>598</v>
      </c>
      <c r="K288" s="2" t="s">
        <v>46</v>
      </c>
      <c r="L288" s="2" t="s">
        <v>47</v>
      </c>
      <c r="M288" s="2" t="s">
        <v>902</v>
      </c>
    </row>
    <row r="289">
      <c r="A289" s="2" t="s">
        <v>2</v>
      </c>
      <c r="B289" s="2" t="s">
        <v>1037</v>
      </c>
      <c r="C289" s="19" t="s">
        <v>1038</v>
      </c>
      <c r="D289" s="2" t="s">
        <v>31</v>
      </c>
      <c r="E289" s="2" t="s">
        <v>311</v>
      </c>
      <c r="F289" s="2" t="s">
        <v>39</v>
      </c>
      <c r="G289" s="2" t="s">
        <v>21</v>
      </c>
      <c r="H289" s="2" t="s">
        <v>42</v>
      </c>
      <c r="I289" s="2" t="s">
        <v>43</v>
      </c>
      <c r="J289" s="2" t="s">
        <v>598</v>
      </c>
      <c r="K289" s="2" t="s">
        <v>46</v>
      </c>
      <c r="L289" s="2" t="s">
        <v>47</v>
      </c>
      <c r="M289" s="2" t="s">
        <v>902</v>
      </c>
    </row>
    <row r="290">
      <c r="A290" s="2" t="s">
        <v>2</v>
      </c>
      <c r="B290" s="2" t="s">
        <v>1039</v>
      </c>
      <c r="C290" s="19" t="s">
        <v>1112</v>
      </c>
      <c r="D290" s="2" t="s">
        <v>31</v>
      </c>
      <c r="E290" s="2" t="s">
        <v>75</v>
      </c>
      <c r="F290" s="2" t="s">
        <v>39</v>
      </c>
      <c r="G290" s="2" t="s">
        <v>21</v>
      </c>
      <c r="H290" s="2" t="s">
        <v>42</v>
      </c>
      <c r="I290" s="2" t="s">
        <v>43</v>
      </c>
      <c r="J290" s="2" t="s">
        <v>598</v>
      </c>
      <c r="K290" s="2" t="s">
        <v>46</v>
      </c>
      <c r="L290" s="2" t="s">
        <v>47</v>
      </c>
      <c r="M290" s="2" t="s">
        <v>902</v>
      </c>
    </row>
    <row r="291">
      <c r="A291" s="2" t="s">
        <v>2</v>
      </c>
      <c r="B291" s="2" t="s">
        <v>1040</v>
      </c>
      <c r="C291" s="19" t="s">
        <v>1041</v>
      </c>
      <c r="D291" s="2" t="s">
        <v>31</v>
      </c>
      <c r="E291" s="2" t="s">
        <v>480</v>
      </c>
      <c r="F291" s="2" t="s">
        <v>39</v>
      </c>
      <c r="G291" s="2" t="s">
        <v>21</v>
      </c>
      <c r="H291" s="2" t="s">
        <v>42</v>
      </c>
      <c r="I291" s="2" t="s">
        <v>43</v>
      </c>
      <c r="J291" s="2" t="s">
        <v>598</v>
      </c>
      <c r="K291" s="2" t="s">
        <v>46</v>
      </c>
      <c r="L291" s="2" t="s">
        <v>47</v>
      </c>
      <c r="M291" s="2" t="s">
        <v>902</v>
      </c>
    </row>
    <row r="292">
      <c r="A292" s="2" t="s">
        <v>2</v>
      </c>
      <c r="B292" s="2" t="s">
        <v>1042</v>
      </c>
      <c r="C292" s="19" t="s">
        <v>1043</v>
      </c>
      <c r="D292" s="2" t="s">
        <v>31</v>
      </c>
      <c r="E292" s="2" t="s">
        <v>1044</v>
      </c>
      <c r="F292" s="2" t="s">
        <v>39</v>
      </c>
      <c r="G292" s="2" t="s">
        <v>21</v>
      </c>
      <c r="H292" s="2" t="s">
        <v>42</v>
      </c>
      <c r="I292" s="2" t="s">
        <v>43</v>
      </c>
      <c r="J292" s="2" t="s">
        <v>598</v>
      </c>
      <c r="K292" s="2" t="s">
        <v>46</v>
      </c>
      <c r="L292" s="2" t="s">
        <v>47</v>
      </c>
      <c r="M292" s="2" t="s">
        <v>902</v>
      </c>
    </row>
    <row r="293">
      <c r="A293" s="2" t="s">
        <v>2</v>
      </c>
      <c r="B293" s="2" t="s">
        <v>1045</v>
      </c>
      <c r="C293" s="19" t="s">
        <v>1046</v>
      </c>
      <c r="D293" s="2" t="s">
        <v>31</v>
      </c>
      <c r="E293" s="2" t="s">
        <v>63</v>
      </c>
      <c r="F293" s="2" t="s">
        <v>39</v>
      </c>
      <c r="G293" s="2" t="s">
        <v>21</v>
      </c>
      <c r="H293" s="2" t="s">
        <v>42</v>
      </c>
      <c r="I293" s="2" t="s">
        <v>43</v>
      </c>
      <c r="J293" s="2" t="s">
        <v>598</v>
      </c>
      <c r="K293" s="2" t="s">
        <v>46</v>
      </c>
      <c r="L293" s="2" t="s">
        <v>47</v>
      </c>
      <c r="M293" s="2" t="s">
        <v>902</v>
      </c>
    </row>
    <row r="294">
      <c r="A294" s="2" t="s">
        <v>2</v>
      </c>
      <c r="B294" s="2" t="s">
        <v>1047</v>
      </c>
      <c r="C294" s="19" t="s">
        <v>1048</v>
      </c>
      <c r="D294" s="2" t="s">
        <v>31</v>
      </c>
      <c r="E294" s="2" t="s">
        <v>155</v>
      </c>
      <c r="F294" s="2" t="s">
        <v>39</v>
      </c>
      <c r="G294" s="2" t="s">
        <v>21</v>
      </c>
      <c r="H294" s="2" t="s">
        <v>42</v>
      </c>
      <c r="I294" s="2" t="s">
        <v>43</v>
      </c>
      <c r="J294" s="2" t="s">
        <v>598</v>
      </c>
      <c r="K294" s="2" t="s">
        <v>46</v>
      </c>
      <c r="L294" s="2" t="s">
        <v>47</v>
      </c>
      <c r="M294" s="2" t="s">
        <v>902</v>
      </c>
    </row>
    <row r="295">
      <c r="A295" s="2" t="s">
        <v>2</v>
      </c>
      <c r="B295" s="2" t="s">
        <v>1049</v>
      </c>
      <c r="C295" s="19" t="s">
        <v>1050</v>
      </c>
      <c r="D295" s="2" t="s">
        <v>31</v>
      </c>
      <c r="E295" s="2" t="s">
        <v>415</v>
      </c>
      <c r="F295" s="2" t="s">
        <v>39</v>
      </c>
      <c r="G295" s="2" t="s">
        <v>21</v>
      </c>
      <c r="H295" s="2" t="s">
        <v>42</v>
      </c>
      <c r="I295" s="2" t="s">
        <v>43</v>
      </c>
      <c r="J295" s="2" t="s">
        <v>598</v>
      </c>
      <c r="K295" s="2" t="s">
        <v>46</v>
      </c>
      <c r="L295" s="2" t="s">
        <v>47</v>
      </c>
      <c r="M295" s="2" t="s">
        <v>902</v>
      </c>
    </row>
    <row r="296">
      <c r="A296" s="2" t="s">
        <v>2</v>
      </c>
      <c r="B296" s="2" t="s">
        <v>1051</v>
      </c>
      <c r="C296" s="19" t="s">
        <v>931</v>
      </c>
      <c r="D296" s="2" t="s">
        <v>31</v>
      </c>
      <c r="E296" s="2" t="s">
        <v>434</v>
      </c>
      <c r="F296" s="2" t="s">
        <v>39</v>
      </c>
      <c r="G296" s="2" t="s">
        <v>21</v>
      </c>
      <c r="H296" s="2" t="s">
        <v>42</v>
      </c>
      <c r="I296" s="2" t="s">
        <v>43</v>
      </c>
      <c r="J296" s="2" t="s">
        <v>598</v>
      </c>
      <c r="K296" s="2" t="s">
        <v>46</v>
      </c>
      <c r="L296" s="2" t="s">
        <v>47</v>
      </c>
      <c r="M296" s="2" t="s">
        <v>902</v>
      </c>
    </row>
    <row r="297">
      <c r="A297" s="2" t="s">
        <v>2</v>
      </c>
      <c r="B297" s="2" t="s">
        <v>1052</v>
      </c>
      <c r="C297" s="8" t="s">
        <v>1113</v>
      </c>
      <c r="D297" s="2" t="s">
        <v>31</v>
      </c>
      <c r="E297" s="2" t="s">
        <v>451</v>
      </c>
      <c r="F297" s="2" t="s">
        <v>39</v>
      </c>
      <c r="G297" s="2" t="s">
        <v>21</v>
      </c>
      <c r="H297" s="2" t="s">
        <v>42</v>
      </c>
      <c r="I297" s="2" t="s">
        <v>43</v>
      </c>
      <c r="J297" s="2" t="s">
        <v>598</v>
      </c>
      <c r="K297" s="2" t="s">
        <v>46</v>
      </c>
      <c r="L297" s="2" t="s">
        <v>47</v>
      </c>
      <c r="M297" s="2" t="s">
        <v>902</v>
      </c>
    </row>
    <row r="298">
      <c r="A298" s="2" t="s">
        <v>2</v>
      </c>
      <c r="B298" s="2" t="s">
        <v>1053</v>
      </c>
      <c r="C298" s="19" t="s">
        <v>1114</v>
      </c>
      <c r="D298" s="2" t="s">
        <v>31</v>
      </c>
      <c r="E298" s="2" t="s">
        <v>1054</v>
      </c>
      <c r="F298" s="2" t="s">
        <v>39</v>
      </c>
      <c r="G298" s="2" t="s">
        <v>21</v>
      </c>
      <c r="H298" s="2" t="s">
        <v>42</v>
      </c>
      <c r="I298" s="2" t="s">
        <v>43</v>
      </c>
      <c r="J298" s="2" t="s">
        <v>598</v>
      </c>
      <c r="K298" s="2" t="s">
        <v>46</v>
      </c>
      <c r="L298" s="2" t="s">
        <v>47</v>
      </c>
      <c r="M298" s="2" t="s">
        <v>902</v>
      </c>
    </row>
    <row r="299">
      <c r="A299" s="2" t="s">
        <v>2</v>
      </c>
      <c r="B299" s="2" t="s">
        <v>1055</v>
      </c>
      <c r="C299" s="19" t="s">
        <v>1115</v>
      </c>
      <c r="D299" s="2" t="s">
        <v>31</v>
      </c>
      <c r="E299" s="2" t="s">
        <v>136</v>
      </c>
      <c r="F299" s="2" t="s">
        <v>39</v>
      </c>
      <c r="G299" s="2" t="s">
        <v>21</v>
      </c>
      <c r="H299" s="2" t="s">
        <v>42</v>
      </c>
      <c r="I299" s="2" t="s">
        <v>43</v>
      </c>
      <c r="J299" s="2" t="s">
        <v>598</v>
      </c>
      <c r="K299" s="2" t="s">
        <v>46</v>
      </c>
      <c r="L299" s="2" t="s">
        <v>47</v>
      </c>
      <c r="M299" s="2" t="s">
        <v>902</v>
      </c>
    </row>
    <row r="300">
      <c r="A300" s="2" t="s">
        <v>2</v>
      </c>
      <c r="B300" s="2" t="s">
        <v>1056</v>
      </c>
      <c r="C300" s="19" t="s">
        <v>1057</v>
      </c>
      <c r="D300" s="2" t="s">
        <v>31</v>
      </c>
      <c r="E300" s="2" t="s">
        <v>1058</v>
      </c>
      <c r="F300" s="2" t="s">
        <v>39</v>
      </c>
      <c r="G300" s="2" t="s">
        <v>21</v>
      </c>
      <c r="H300" s="2" t="s">
        <v>42</v>
      </c>
      <c r="I300" s="2" t="s">
        <v>43</v>
      </c>
      <c r="J300" s="2" t="s">
        <v>598</v>
      </c>
      <c r="K300" s="2" t="s">
        <v>46</v>
      </c>
      <c r="L300" s="2" t="s">
        <v>47</v>
      </c>
      <c r="M300" s="2" t="s">
        <v>902</v>
      </c>
    </row>
    <row r="301">
      <c r="A301" s="2" t="s">
        <v>2</v>
      </c>
      <c r="B301" s="2" t="s">
        <v>1059</v>
      </c>
      <c r="C301" s="19" t="s">
        <v>1116</v>
      </c>
      <c r="D301" s="2" t="s">
        <v>31</v>
      </c>
      <c r="E301" s="2" t="s">
        <v>441</v>
      </c>
      <c r="F301" s="2" t="s">
        <v>39</v>
      </c>
      <c r="G301" s="2" t="s">
        <v>21</v>
      </c>
      <c r="H301" s="2" t="s">
        <v>42</v>
      </c>
      <c r="I301" s="2" t="s">
        <v>43</v>
      </c>
      <c r="J301" s="2" t="s">
        <v>598</v>
      </c>
      <c r="K301" s="2" t="s">
        <v>46</v>
      </c>
      <c r="L301" s="2" t="s">
        <v>47</v>
      </c>
      <c r="M301" s="2" t="s">
        <v>902</v>
      </c>
    </row>
    <row r="302">
      <c r="A302" s="2" t="s">
        <v>2</v>
      </c>
      <c r="B302" s="2" t="s">
        <v>1060</v>
      </c>
      <c r="C302" s="19" t="s">
        <v>1117</v>
      </c>
      <c r="D302" s="2" t="s">
        <v>31</v>
      </c>
      <c r="E302" s="2" t="s">
        <v>457</v>
      </c>
      <c r="F302" s="2" t="s">
        <v>39</v>
      </c>
      <c r="G302" s="2" t="s">
        <v>21</v>
      </c>
      <c r="H302" s="2" t="s">
        <v>42</v>
      </c>
      <c r="I302" s="2" t="s">
        <v>43</v>
      </c>
      <c r="J302" s="2" t="s">
        <v>598</v>
      </c>
      <c r="K302" s="2" t="s">
        <v>46</v>
      </c>
      <c r="L302" s="2" t="s">
        <v>47</v>
      </c>
      <c r="M302" s="2" t="s">
        <v>902</v>
      </c>
    </row>
    <row r="303">
      <c r="A303" s="2" t="s">
        <v>2</v>
      </c>
      <c r="B303" s="2" t="s">
        <v>1062</v>
      </c>
      <c r="C303" s="19" t="s">
        <v>1063</v>
      </c>
      <c r="D303" s="2" t="s">
        <v>31</v>
      </c>
      <c r="E303" s="2" t="s">
        <v>1064</v>
      </c>
      <c r="F303" s="2" t="s">
        <v>39</v>
      </c>
      <c r="G303" s="2" t="s">
        <v>21</v>
      </c>
      <c r="H303" s="2" t="s">
        <v>42</v>
      </c>
      <c r="I303" s="2" t="s">
        <v>43</v>
      </c>
      <c r="J303" s="2" t="s">
        <v>598</v>
      </c>
      <c r="K303" s="2" t="s">
        <v>46</v>
      </c>
      <c r="L303" s="2" t="s">
        <v>47</v>
      </c>
      <c r="M303" s="2" t="s">
        <v>902</v>
      </c>
    </row>
    <row r="304">
      <c r="A304" s="2" t="s">
        <v>2</v>
      </c>
      <c r="B304" s="2" t="s">
        <v>1065</v>
      </c>
      <c r="C304" s="19" t="s">
        <v>1066</v>
      </c>
      <c r="D304" s="2" t="s">
        <v>31</v>
      </c>
      <c r="E304" s="2" t="s">
        <v>200</v>
      </c>
      <c r="F304" s="2" t="s">
        <v>39</v>
      </c>
      <c r="G304" s="2" t="s">
        <v>21</v>
      </c>
      <c r="H304" s="2" t="s">
        <v>42</v>
      </c>
      <c r="I304" s="2" t="s">
        <v>43</v>
      </c>
      <c r="J304" s="2" t="s">
        <v>598</v>
      </c>
      <c r="K304" s="2" t="s">
        <v>46</v>
      </c>
      <c r="L304" s="2" t="s">
        <v>47</v>
      </c>
      <c r="M304" s="2" t="s">
        <v>902</v>
      </c>
    </row>
    <row r="305">
      <c r="A305" s="2" t="s">
        <v>2</v>
      </c>
      <c r="B305" s="2" t="s">
        <v>1068</v>
      </c>
      <c r="C305" s="19" t="s">
        <v>1118</v>
      </c>
      <c r="D305" s="2" t="s">
        <v>31</v>
      </c>
      <c r="E305" s="2" t="s">
        <v>184</v>
      </c>
      <c r="F305" s="2" t="s">
        <v>39</v>
      </c>
      <c r="G305" s="2" t="s">
        <v>21</v>
      </c>
      <c r="H305" s="2" t="s">
        <v>42</v>
      </c>
      <c r="I305" s="2" t="s">
        <v>43</v>
      </c>
      <c r="J305" s="2" t="s">
        <v>598</v>
      </c>
      <c r="K305" s="2" t="s">
        <v>46</v>
      </c>
      <c r="L305" s="2" t="s">
        <v>47</v>
      </c>
      <c r="M305" s="2" t="s">
        <v>902</v>
      </c>
    </row>
    <row r="306">
      <c r="A306" s="2" t="s">
        <v>2</v>
      </c>
      <c r="B306" s="2" t="s">
        <v>1069</v>
      </c>
      <c r="C306" s="8" t="s">
        <v>1070</v>
      </c>
      <c r="D306" s="2" t="s">
        <v>31</v>
      </c>
      <c r="E306" s="2" t="s">
        <v>464</v>
      </c>
      <c r="F306" s="2" t="s">
        <v>39</v>
      </c>
      <c r="G306" s="2" t="s">
        <v>21</v>
      </c>
      <c r="H306" s="2" t="s">
        <v>42</v>
      </c>
      <c r="I306" s="2" t="s">
        <v>43</v>
      </c>
      <c r="J306" s="2" t="s">
        <v>598</v>
      </c>
      <c r="K306" s="2" t="s">
        <v>46</v>
      </c>
      <c r="L306" s="2" t="s">
        <v>47</v>
      </c>
      <c r="M306" s="21" t="s">
        <v>902</v>
      </c>
    </row>
    <row r="307">
      <c r="A307" s="2" t="s">
        <v>2</v>
      </c>
      <c r="B307" s="2" t="s">
        <v>1073</v>
      </c>
      <c r="C307" s="19" t="s">
        <v>1074</v>
      </c>
      <c r="D307" s="2" t="s">
        <v>31</v>
      </c>
      <c r="E307" s="2" t="s">
        <v>251</v>
      </c>
      <c r="F307" s="2" t="s">
        <v>39</v>
      </c>
      <c r="G307" s="2" t="s">
        <v>21</v>
      </c>
      <c r="H307" s="2" t="s">
        <v>42</v>
      </c>
      <c r="I307" s="2" t="s">
        <v>43</v>
      </c>
      <c r="J307" s="2" t="s">
        <v>598</v>
      </c>
      <c r="K307" s="2" t="s">
        <v>46</v>
      </c>
      <c r="L307" s="2" t="s">
        <v>47</v>
      </c>
      <c r="M307" s="2" t="s">
        <v>902</v>
      </c>
    </row>
    <row r="308">
      <c r="A308" s="2" t="s">
        <v>2</v>
      </c>
      <c r="B308" s="2" t="s">
        <v>1075</v>
      </c>
      <c r="C308" s="19" t="s">
        <v>1076</v>
      </c>
      <c r="D308" s="2" t="s">
        <v>31</v>
      </c>
      <c r="E308" s="2" t="s">
        <v>568</v>
      </c>
      <c r="F308" s="2" t="s">
        <v>39</v>
      </c>
      <c r="G308" s="2" t="s">
        <v>21</v>
      </c>
      <c r="H308" s="2" t="s">
        <v>42</v>
      </c>
      <c r="I308" s="2" t="s">
        <v>43</v>
      </c>
      <c r="J308" s="2" t="s">
        <v>598</v>
      </c>
      <c r="K308" s="2" t="s">
        <v>46</v>
      </c>
      <c r="L308" s="2" t="s">
        <v>47</v>
      </c>
      <c r="M308" s="2" t="s">
        <v>902</v>
      </c>
    </row>
    <row r="309">
      <c r="A309" s="2" t="s">
        <v>2</v>
      </c>
      <c r="B309" s="2" t="s">
        <v>1078</v>
      </c>
      <c r="C309" s="19" t="s">
        <v>1119</v>
      </c>
      <c r="D309" s="2" t="s">
        <v>31</v>
      </c>
      <c r="E309" s="2" t="s">
        <v>357</v>
      </c>
      <c r="F309" s="2" t="s">
        <v>39</v>
      </c>
      <c r="G309" s="2" t="s">
        <v>21</v>
      </c>
      <c r="H309" s="2" t="s">
        <v>42</v>
      </c>
      <c r="I309" s="2" t="s">
        <v>43</v>
      </c>
      <c r="J309" s="2" t="s">
        <v>598</v>
      </c>
      <c r="K309" s="2" t="s">
        <v>46</v>
      </c>
      <c r="L309" s="2" t="s">
        <v>47</v>
      </c>
      <c r="M309" s="2" t="s">
        <v>902</v>
      </c>
    </row>
    <row r="310">
      <c r="A310" s="2" t="s">
        <v>2</v>
      </c>
      <c r="B310" s="2" t="s">
        <v>1079</v>
      </c>
      <c r="C310" s="19" t="s">
        <v>1080</v>
      </c>
      <c r="D310" s="2" t="s">
        <v>31</v>
      </c>
      <c r="E310" s="2" t="s">
        <v>422</v>
      </c>
      <c r="F310" s="2" t="s">
        <v>39</v>
      </c>
      <c r="G310" s="2" t="s">
        <v>21</v>
      </c>
      <c r="H310" s="2" t="s">
        <v>42</v>
      </c>
      <c r="I310" s="2" t="s">
        <v>43</v>
      </c>
      <c r="J310" s="2" t="s">
        <v>598</v>
      </c>
      <c r="K310" s="2" t="s">
        <v>46</v>
      </c>
      <c r="L310" s="2" t="s">
        <v>47</v>
      </c>
      <c r="M310" s="2" t="s">
        <v>902</v>
      </c>
    </row>
    <row r="311">
      <c r="A311" s="2" t="s">
        <v>2</v>
      </c>
      <c r="B311" s="2" t="s">
        <v>1081</v>
      </c>
      <c r="C311" s="19" t="s">
        <v>1120</v>
      </c>
      <c r="D311" s="2" t="s">
        <v>31</v>
      </c>
      <c r="E311" s="2" t="s">
        <v>279</v>
      </c>
      <c r="F311" s="2" t="s">
        <v>39</v>
      </c>
      <c r="G311" s="2" t="s">
        <v>21</v>
      </c>
      <c r="H311" s="2" t="s">
        <v>42</v>
      </c>
      <c r="I311" s="2" t="s">
        <v>43</v>
      </c>
      <c r="J311" s="2" t="s">
        <v>598</v>
      </c>
      <c r="K311" s="2" t="s">
        <v>46</v>
      </c>
      <c r="L311" s="2" t="s">
        <v>47</v>
      </c>
      <c r="M311" s="2" t="s">
        <v>902</v>
      </c>
    </row>
    <row r="312">
      <c r="A312" s="2" t="s">
        <v>2</v>
      </c>
      <c r="B312" s="2" t="s">
        <v>1083</v>
      </c>
      <c r="C312" s="8" t="s">
        <v>1084</v>
      </c>
      <c r="D312" s="2" t="s">
        <v>31</v>
      </c>
      <c r="E312" s="2" t="s">
        <v>161</v>
      </c>
      <c r="F312" s="2" t="s">
        <v>39</v>
      </c>
      <c r="G312" s="2" t="s">
        <v>21</v>
      </c>
      <c r="H312" s="2" t="s">
        <v>42</v>
      </c>
      <c r="I312" s="2" t="s">
        <v>43</v>
      </c>
      <c r="J312" s="2" t="s">
        <v>598</v>
      </c>
      <c r="K312" s="2" t="s">
        <v>46</v>
      </c>
      <c r="L312" s="2" t="s">
        <v>47</v>
      </c>
      <c r="M312" s="2" t="s">
        <v>902</v>
      </c>
    </row>
    <row r="313">
      <c r="A313" s="2" t="s">
        <v>2</v>
      </c>
      <c r="B313" s="2" t="s">
        <v>37</v>
      </c>
      <c r="C313" s="8" t="s">
        <v>38</v>
      </c>
      <c r="D313" s="2" t="s">
        <v>28</v>
      </c>
      <c r="E313" s="2" t="s">
        <v>0</v>
      </c>
      <c r="F313" s="2" t="s">
        <v>39</v>
      </c>
      <c r="G313" s="2" t="s">
        <v>21</v>
      </c>
      <c r="H313" s="2" t="s">
        <v>42</v>
      </c>
      <c r="I313" s="2" t="s">
        <v>43</v>
      </c>
      <c r="J313" s="2" t="s">
        <v>45</v>
      </c>
      <c r="K313" s="2" t="s">
        <v>46</v>
      </c>
      <c r="L313" s="2" t="s">
        <v>54</v>
      </c>
      <c r="M313" s="8" t="s">
        <v>55</v>
      </c>
    </row>
    <row r="314">
      <c r="A314" s="2" t="s">
        <v>2</v>
      </c>
      <c r="B314" s="2" t="s">
        <v>893</v>
      </c>
      <c r="C314" s="19" t="s">
        <v>894</v>
      </c>
      <c r="D314" s="2" t="s">
        <v>28</v>
      </c>
      <c r="E314" s="6" t="s">
        <v>896</v>
      </c>
      <c r="F314" s="2" t="s">
        <v>723</v>
      </c>
      <c r="G314" s="2" t="s">
        <v>21</v>
      </c>
      <c r="H314" s="2" t="s">
        <v>42</v>
      </c>
      <c r="I314" s="2" t="s">
        <v>43</v>
      </c>
      <c r="J314" s="2" t="s">
        <v>45</v>
      </c>
      <c r="K314" s="2" t="s">
        <v>46</v>
      </c>
      <c r="L314" s="2" t="s">
        <v>47</v>
      </c>
      <c r="M314" s="8" t="s">
        <v>897</v>
      </c>
    </row>
    <row r="315">
      <c r="A315" s="2" t="s">
        <v>2</v>
      </c>
      <c r="B315" s="2" t="s">
        <v>943</v>
      </c>
      <c r="C315" s="19" t="s">
        <v>944</v>
      </c>
      <c r="D315" s="2" t="s">
        <v>727</v>
      </c>
      <c r="E315" s="2" t="s">
        <v>1121</v>
      </c>
      <c r="F315" s="2" t="s">
        <v>39</v>
      </c>
      <c r="G315" s="2" t="s">
        <v>21</v>
      </c>
      <c r="H315" s="2" t="s">
        <v>42</v>
      </c>
      <c r="I315" s="2" t="s">
        <v>43</v>
      </c>
      <c r="J315" s="2" t="s">
        <v>598</v>
      </c>
      <c r="K315" s="2" t="s">
        <v>46</v>
      </c>
      <c r="L315" s="2" t="s">
        <v>47</v>
      </c>
      <c r="M315" s="8" t="s">
        <v>946</v>
      </c>
    </row>
    <row r="316">
      <c r="A316" s="2" t="s">
        <v>2</v>
      </c>
      <c r="B316" s="2" t="s">
        <v>1086</v>
      </c>
      <c r="C316" s="19" t="s">
        <v>1087</v>
      </c>
      <c r="D316" s="2" t="s">
        <v>31</v>
      </c>
      <c r="E316" s="2" t="s">
        <v>258</v>
      </c>
      <c r="F316" s="2" t="s">
        <v>39</v>
      </c>
      <c r="G316" s="2" t="s">
        <v>21</v>
      </c>
      <c r="H316" s="2" t="s">
        <v>42</v>
      </c>
      <c r="I316" s="2" t="s">
        <v>43</v>
      </c>
      <c r="J316" s="2" t="s">
        <v>598</v>
      </c>
      <c r="K316" s="2" t="s">
        <v>46</v>
      </c>
      <c r="L316" s="2" t="s">
        <v>47</v>
      </c>
      <c r="M316" s="2"/>
    </row>
    <row r="317">
      <c r="A317" s="2" t="s">
        <v>2</v>
      </c>
      <c r="B317" s="2" t="s">
        <v>1088</v>
      </c>
      <c r="C317" s="19" t="s">
        <v>1089</v>
      </c>
      <c r="D317" s="2" t="s">
        <v>31</v>
      </c>
      <c r="E317" s="2" t="s">
        <v>66</v>
      </c>
      <c r="F317" s="2" t="s">
        <v>39</v>
      </c>
      <c r="G317" s="2" t="s">
        <v>21</v>
      </c>
      <c r="H317" s="2" t="s">
        <v>42</v>
      </c>
      <c r="I317" s="2" t="s">
        <v>43</v>
      </c>
      <c r="J317" s="2" t="s">
        <v>45</v>
      </c>
      <c r="K317" s="2" t="s">
        <v>46</v>
      </c>
      <c r="L317" s="2" t="s">
        <v>47</v>
      </c>
      <c r="M317" s="6"/>
    </row>
    <row r="318">
      <c r="A318" s="2" t="s">
        <v>2</v>
      </c>
      <c r="B318" s="2" t="s">
        <v>1090</v>
      </c>
      <c r="C318" s="19" t="s">
        <v>1091</v>
      </c>
      <c r="D318" s="2" t="s">
        <v>31</v>
      </c>
      <c r="E318" s="2" t="s">
        <v>480</v>
      </c>
      <c r="F318" s="2" t="s">
        <v>39</v>
      </c>
      <c r="G318" s="2" t="s">
        <v>21</v>
      </c>
      <c r="H318" s="2" t="s">
        <v>42</v>
      </c>
      <c r="I318" s="2" t="s">
        <v>43</v>
      </c>
      <c r="J318" s="2" t="s">
        <v>45</v>
      </c>
      <c r="K318" s="2" t="s">
        <v>46</v>
      </c>
      <c r="L318" s="2" t="s">
        <v>47</v>
      </c>
      <c r="M318" s="6"/>
    </row>
    <row r="319">
      <c r="A319" s="2" t="s">
        <v>2</v>
      </c>
      <c r="B319" s="2" t="s">
        <v>1092</v>
      </c>
      <c r="C319" s="19" t="s">
        <v>1093</v>
      </c>
      <c r="D319" s="2" t="s">
        <v>31</v>
      </c>
      <c r="E319" s="2" t="s">
        <v>193</v>
      </c>
      <c r="F319" s="2" t="s">
        <v>39</v>
      </c>
      <c r="G319" s="2" t="s">
        <v>21</v>
      </c>
      <c r="H319" s="2" t="s">
        <v>42</v>
      </c>
      <c r="I319" s="2" t="s">
        <v>43</v>
      </c>
      <c r="J319" s="2" t="s">
        <v>45</v>
      </c>
      <c r="K319" s="2" t="s">
        <v>46</v>
      </c>
      <c r="L319" s="2" t="s">
        <v>47</v>
      </c>
      <c r="M319" s="6"/>
    </row>
    <row r="320">
      <c r="A320" s="2" t="s">
        <v>2</v>
      </c>
      <c r="B320" s="2" t="s">
        <v>1094</v>
      </c>
      <c r="C320" s="19" t="s">
        <v>1095</v>
      </c>
      <c r="D320" s="2" t="s">
        <v>31</v>
      </c>
      <c r="E320" s="2" t="s">
        <v>1097</v>
      </c>
      <c r="F320" s="2" t="s">
        <v>39</v>
      </c>
      <c r="G320" s="2" t="s">
        <v>21</v>
      </c>
      <c r="H320" s="2" t="s">
        <v>42</v>
      </c>
      <c r="I320" s="2" t="s">
        <v>43</v>
      </c>
      <c r="J320" s="2" t="s">
        <v>45</v>
      </c>
      <c r="K320" s="2" t="s">
        <v>46</v>
      </c>
      <c r="L320" s="2" t="s">
        <v>47</v>
      </c>
      <c r="M320" s="6"/>
    </row>
    <row r="321">
      <c r="A321" s="2" t="s">
        <v>2</v>
      </c>
      <c r="B321" s="2" t="s">
        <v>1098</v>
      </c>
      <c r="C321" s="19" t="s">
        <v>1099</v>
      </c>
      <c r="D321" s="2" t="s">
        <v>31</v>
      </c>
      <c r="E321" s="2" t="s">
        <v>283</v>
      </c>
      <c r="F321" s="2" t="s">
        <v>39</v>
      </c>
      <c r="G321" s="2" t="s">
        <v>21</v>
      </c>
      <c r="H321" s="2" t="s">
        <v>42</v>
      </c>
      <c r="I321" s="2" t="s">
        <v>43</v>
      </c>
      <c r="J321" s="2" t="s">
        <v>45</v>
      </c>
      <c r="K321" s="2" t="s">
        <v>46</v>
      </c>
      <c r="L321" s="2" t="s">
        <v>47</v>
      </c>
      <c r="M321" s="6"/>
    </row>
    <row r="322">
      <c r="A322" s="2" t="s">
        <v>2</v>
      </c>
      <c r="B322" s="2" t="s">
        <v>1100</v>
      </c>
      <c r="C322" s="19" t="s">
        <v>1101</v>
      </c>
      <c r="D322" s="2" t="s">
        <v>31</v>
      </c>
      <c r="E322" s="2" t="s">
        <v>1103</v>
      </c>
      <c r="F322" s="2" t="s">
        <v>39</v>
      </c>
      <c r="G322" s="2" t="s">
        <v>21</v>
      </c>
      <c r="H322" s="2" t="s">
        <v>42</v>
      </c>
      <c r="I322" s="2" t="s">
        <v>43</v>
      </c>
      <c r="J322" s="2" t="s">
        <v>45</v>
      </c>
      <c r="K322" s="2" t="s">
        <v>46</v>
      </c>
      <c r="L322" s="2" t="s">
        <v>47</v>
      </c>
      <c r="M322" s="6"/>
    </row>
    <row r="323">
      <c r="A323" s="2" t="s">
        <v>2</v>
      </c>
      <c r="B323" s="2" t="s">
        <v>1104</v>
      </c>
      <c r="C323" s="19" t="s">
        <v>1105</v>
      </c>
      <c r="D323" s="2" t="s">
        <v>31</v>
      </c>
      <c r="E323" s="2" t="s">
        <v>148</v>
      </c>
      <c r="F323" s="2" t="s">
        <v>39</v>
      </c>
      <c r="G323" s="2" t="s">
        <v>21</v>
      </c>
      <c r="H323" s="2" t="s">
        <v>42</v>
      </c>
      <c r="I323" s="2" t="s">
        <v>43</v>
      </c>
      <c r="J323" s="2" t="s">
        <v>45</v>
      </c>
      <c r="K323" s="2" t="s">
        <v>46</v>
      </c>
      <c r="L323" s="2" t="s">
        <v>47</v>
      </c>
      <c r="M323" s="6"/>
    </row>
    <row r="324">
      <c r="A324" s="2" t="s">
        <v>2</v>
      </c>
      <c r="B324" s="26" t="s">
        <v>1107</v>
      </c>
      <c r="C324" s="8" t="s">
        <v>1105</v>
      </c>
      <c r="D324" s="2" t="s">
        <v>31</v>
      </c>
      <c r="E324" s="2" t="s">
        <v>148</v>
      </c>
      <c r="F324" s="2" t="s">
        <v>39</v>
      </c>
      <c r="G324" s="2" t="s">
        <v>21</v>
      </c>
      <c r="H324" s="2" t="s">
        <v>42</v>
      </c>
      <c r="I324" s="2" t="s">
        <v>43</v>
      </c>
      <c r="J324" s="2" t="s">
        <v>45</v>
      </c>
      <c r="K324" s="2" t="s">
        <v>46</v>
      </c>
      <c r="L324" s="2" t="s">
        <v>47</v>
      </c>
      <c r="M324" s="6"/>
    </row>
    <row r="325">
      <c r="A325" s="2" t="s">
        <v>2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>
      <c r="A326" s="2" t="s">
        <v>2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>
      <c r="A327" s="2" t="s">
        <v>2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>
      <c r="A328" s="2" t="s">
        <v>2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>
      <c r="A329" s="2" t="s">
        <v>2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>
      <c r="A330" s="2" t="s">
        <v>2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>
      <c r="A331" s="2" t="s">
        <v>2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>
      <c r="A332" s="2" t="s">
        <v>2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>
      <c r="A333" s="2" t="s">
        <v>2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>
      <c r="A334" s="2" t="s">
        <v>2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>
      <c r="A335" s="2" t="s">
        <v>2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>
      <c r="A336" s="2" t="s">
        <v>2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>
      <c r="A337" s="2" t="s">
        <v>2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>
      <c r="A338" s="2" t="s">
        <v>2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>
      <c r="A339" s="2" t="s">
        <v>2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>
      <c r="A340" s="2" t="s">
        <v>2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>
      <c r="A341" s="2" t="s">
        <v>2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>
      <c r="A342" s="2" t="s">
        <v>2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>
      <c r="A343" s="2" t="s">
        <v>2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>
      <c r="A344" s="2" t="s">
        <v>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>
      <c r="A345" s="2" t="s">
        <v>2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>
      <c r="A346" s="2" t="s">
        <v>2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>
      <c r="A347" s="2" t="s">
        <v>2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>
      <c r="A348" s="2" t="s">
        <v>2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>
      <c r="A349" s="2" t="s">
        <v>2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>
      <c r="A350" s="2" t="s">
        <v>2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>
      <c r="A351" s="2" t="s">
        <v>2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>
      <c r="A352" s="2" t="s">
        <v>2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>
      <c r="A353" s="2" t="s">
        <v>2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>
      <c r="A354" s="2" t="s">
        <v>2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>
      <c r="A355" s="2" t="s">
        <v>2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>
      <c r="A356" s="2" t="s">
        <v>2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>
      <c r="A357" s="2" t="s">
        <v>2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>
      <c r="A358" s="2" t="s">
        <v>2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>
      <c r="A359" s="2" t="s">
        <v>2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>
      <c r="A360" s="2" t="s">
        <v>2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>
      <c r="A361" s="2" t="s">
        <v>2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>
      <c r="A362" s="2" t="s">
        <v>2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>
      <c r="A363" s="2" t="s">
        <v>2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>
      <c r="A364" s="2" t="s">
        <v>2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>
      <c r="A365" s="2" t="s">
        <v>2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>
      <c r="A366" s="2" t="s">
        <v>2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>
      <c r="A367" s="2" t="s">
        <v>2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>
      <c r="A368" s="2" t="s">
        <v>2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>
      <c r="A369" s="2" t="s">
        <v>2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>
      <c r="A370" s="2" t="s">
        <v>2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>
      <c r="A371" s="2" t="s">
        <v>2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>
      <c r="A372" s="2" t="s">
        <v>2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>
      <c r="A373" s="2" t="s">
        <v>2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>
      <c r="A374" s="2" t="s">
        <v>2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>
      <c r="A375" s="2" t="s">
        <v>2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>
      <c r="A376" s="2" t="s">
        <v>2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>
      <c r="A377" s="2" t="s">
        <v>2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>
      <c r="A378" s="2" t="s">
        <v>2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>
      <c r="A379" s="2" t="s">
        <v>2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>
      <c r="A380" s="2" t="s">
        <v>2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>
      <c r="A381" s="2" t="s">
        <v>2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>
      <c r="A382" s="2" t="s">
        <v>2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>
      <c r="A383" s="2" t="s">
        <v>2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>
      <c r="A384" s="2" t="s">
        <v>2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>
      <c r="A385" s="2" t="s">
        <v>2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>
      <c r="A386" s="2" t="s">
        <v>2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>
      <c r="A387" s="2" t="s">
        <v>2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>
      <c r="A388" s="2" t="s">
        <v>2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>
      <c r="A389" s="2" t="s">
        <v>2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>
      <c r="A390" s="2" t="s">
        <v>2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>
      <c r="A391" s="2" t="s">
        <v>2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>
      <c r="A392" s="2" t="s">
        <v>2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>
      <c r="A393" s="2" t="s">
        <v>2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>
      <c r="A394" s="2" t="s">
        <v>2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>
      <c r="A395" s="2" t="s">
        <v>2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>
      <c r="A396" s="2" t="s">
        <v>2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>
      <c r="A397" s="2" t="s">
        <v>2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>
      <c r="A398" s="2" t="s">
        <v>2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>
      <c r="A399" s="2" t="s">
        <v>2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>
      <c r="A400" s="2" t="s">
        <v>2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>
      <c r="A401" s="2" t="s">
        <v>2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>
      <c r="A402" s="2" t="s">
        <v>2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>
      <c r="A403" s="2" t="s">
        <v>2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>
      <c r="A404" s="2" t="s">
        <v>2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>
      <c r="A405" s="2" t="s">
        <v>2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>
      <c r="A406" s="2" t="s">
        <v>2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>
      <c r="A407" s="2" t="s">
        <v>2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>
      <c r="A408" s="2" t="s">
        <v>2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>
      <c r="A409" s="2" t="s">
        <v>2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>
      <c r="A410" s="2" t="s">
        <v>2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>
      <c r="A411" s="2" t="s">
        <v>2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>
      <c r="A412" s="2" t="s">
        <v>2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>
      <c r="A413" s="2" t="s">
        <v>2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>
      <c r="A414" s="2" t="s">
        <v>2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>
      <c r="A415" s="2" t="s">
        <v>2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>
      <c r="A416" s="2" t="s">
        <v>2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>
      <c r="A417" s="2" t="s">
        <v>2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>
      <c r="A418" s="2" t="s">
        <v>2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>
      <c r="A419" s="2" t="s">
        <v>2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>
      <c r="A420" s="2" t="s">
        <v>2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>
      <c r="A421" s="2" t="s">
        <v>2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>
      <c r="A422" s="2" t="s">
        <v>2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>
      <c r="A423" s="2" t="s">
        <v>2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>
      <c r="A424" s="2" t="s">
        <v>2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>
      <c r="A425" s="2" t="s">
        <v>2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>
      <c r="A426" s="2" t="s">
        <v>2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>
      <c r="A427" s="2" t="s">
        <v>2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>
      <c r="A428" s="2" t="s">
        <v>2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>
      <c r="A429" s="2" t="s">
        <v>2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>
      <c r="A430" s="2" t="s">
        <v>2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>
      <c r="A431" s="2" t="s">
        <v>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>
      <c r="A432" s="2" t="s">
        <v>2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>
      <c r="A433" s="2" t="s">
        <v>2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>
      <c r="A434" s="2" t="s">
        <v>2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>
      <c r="A435" s="2" t="s">
        <v>2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>
      <c r="A436" s="2" t="s">
        <v>2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>
      <c r="A437" s="2" t="s">
        <v>2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>
      <c r="A438" s="2" t="s">
        <v>2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>
      <c r="A439" s="2" t="s">
        <v>2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>
      <c r="A440" s="2" t="s">
        <v>2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>
      <c r="A441" s="2" t="s">
        <v>2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>
      <c r="A442" s="2" t="s">
        <v>2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>
      <c r="A443" s="2" t="s">
        <v>2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>
      <c r="A444" s="2" t="s">
        <v>2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>
      <c r="A445" s="2" t="s">
        <v>2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>
      <c r="A446" s="2" t="s">
        <v>2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>
      <c r="A447" s="2" t="s">
        <v>2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>
      <c r="A448" s="2" t="s">
        <v>2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>
      <c r="A449" s="2" t="s">
        <v>2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>
      <c r="A450" s="2" t="s">
        <v>2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>
      <c r="A451" s="2" t="s">
        <v>2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>
      <c r="A452" s="2" t="s">
        <v>2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>
      <c r="A453" s="2" t="s">
        <v>2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>
      <c r="A454" s="2" t="s">
        <v>2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>
      <c r="A455" s="2" t="s">
        <v>2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>
      <c r="A456" s="2" t="s">
        <v>2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>
      <c r="A457" s="2" t="s">
        <v>2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>
      <c r="A458" s="2" t="s">
        <v>2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>
      <c r="A459" s="2" t="s">
        <v>2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>
      <c r="A460" s="2" t="s">
        <v>2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>
      <c r="A461" s="2" t="s">
        <v>2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>
      <c r="A462" s="2" t="s">
        <v>2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>
      <c r="A463" s="2" t="s">
        <v>2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>
      <c r="A464" s="2" t="s">
        <v>2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>
      <c r="A465" s="2" t="s">
        <v>2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>
      <c r="A466" s="2" t="s">
        <v>2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>
      <c r="A467" s="2" t="s">
        <v>2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>
      <c r="A468" s="2" t="s">
        <v>2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>
      <c r="A469" s="2" t="s">
        <v>2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>
      <c r="A470" s="2" t="s">
        <v>2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>
      <c r="A471" s="2" t="s">
        <v>2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>
      <c r="A472" s="2" t="s">
        <v>2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>
      <c r="A473" s="2" t="s">
        <v>2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>
      <c r="A474" s="2" t="s">
        <v>2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>
      <c r="A475" s="2" t="s">
        <v>2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>
      <c r="A476" s="2" t="s">
        <v>2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>
      <c r="A477" s="2" t="s">
        <v>2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>
      <c r="A478" s="2" t="s">
        <v>2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>
      <c r="A479" s="2" t="s">
        <v>2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>
      <c r="A480" s="2" t="s">
        <v>2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>
      <c r="A481" s="2" t="s">
        <v>2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>
      <c r="A482" s="2" t="s">
        <v>2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>
      <c r="A483" s="2" t="s">
        <v>2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>
      <c r="A484" s="2" t="s">
        <v>2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>
      <c r="A485" s="2" t="s">
        <v>2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>
      <c r="A486" s="2" t="s">
        <v>2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>
      <c r="A487" s="2" t="s">
        <v>2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>
      <c r="A488" s="2" t="s">
        <v>2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>
      <c r="A489" s="2" t="s">
        <v>2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>
      <c r="A490" s="2" t="s">
        <v>2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>
      <c r="A491" s="2" t="s">
        <v>2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>
      <c r="A492" s="2" t="s">
        <v>2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>
      <c r="A493" s="2" t="s">
        <v>2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>
      <c r="A494" s="2" t="s">
        <v>2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>
      <c r="A495" s="2" t="s">
        <v>2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>
      <c r="A496" s="2" t="s">
        <v>2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>
      <c r="A497" s="2" t="s">
        <v>2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>
      <c r="A498" s="2" t="s">
        <v>2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>
      <c r="A499" s="2" t="s">
        <v>2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>
      <c r="A500" s="2" t="s">
        <v>2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>
      <c r="A501" s="2" t="s">
        <v>2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>
      <c r="A502" s="2" t="s">
        <v>2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>
      <c r="A503" s="2" t="s">
        <v>2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>
      <c r="A504" s="2" t="s">
        <v>2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>
      <c r="A505" s="2" t="s">
        <v>2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>
      <c r="A506" s="2" t="s">
        <v>2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>
      <c r="A507" s="2" t="s">
        <v>2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>
      <c r="A508" s="2" t="s">
        <v>2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>
      <c r="A509" s="2" t="s">
        <v>2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>
      <c r="A510" s="2" t="s">
        <v>2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>
      <c r="A511" s="2" t="s">
        <v>2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>
      <c r="A512" s="2" t="s">
        <v>2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>
      <c r="A513" s="2" t="s">
        <v>2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>
      <c r="A514" s="2" t="s">
        <v>2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>
      <c r="A515" s="2" t="s">
        <v>2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>
      <c r="A516" s="2" t="s">
        <v>2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>
      <c r="A517" s="2" t="s">
        <v>2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>
      <c r="A518" s="2" t="s">
        <v>2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>
      <c r="A519" s="2" t="s">
        <v>2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>
      <c r="A520" s="2" t="s">
        <v>2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>
      <c r="A521" s="2" t="s">
        <v>2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>
      <c r="A522" s="2" t="s">
        <v>2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>
      <c r="A523" s="2" t="s">
        <v>2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>
      <c r="A524" s="2" t="s">
        <v>2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>
      <c r="A525" s="2" t="s">
        <v>2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>
      <c r="A526" s="2" t="s">
        <v>2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>
      <c r="A527" s="2" t="s">
        <v>2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>
      <c r="A528" s="2" t="s">
        <v>2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>
      <c r="A529" s="2" t="s">
        <v>2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>
      <c r="A530" s="2" t="s">
        <v>2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>
      <c r="A531" s="2" t="s">
        <v>2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>
      <c r="A532" s="2" t="s">
        <v>2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>
      <c r="A533" s="2" t="s">
        <v>2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>
      <c r="A534" s="2" t="s">
        <v>2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>
      <c r="A535" s="2" t="s">
        <v>2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>
      <c r="A536" s="2" t="s">
        <v>2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>
      <c r="A537" s="2" t="s">
        <v>2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>
      <c r="A538" s="2" t="s">
        <v>2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>
      <c r="A539" s="2" t="s">
        <v>2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>
      <c r="A540" s="2" t="s">
        <v>2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>
      <c r="A541" s="2" t="s">
        <v>2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>
      <c r="A542" s="2" t="s">
        <v>2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>
      <c r="A543" s="2" t="s">
        <v>2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>
      <c r="A544" s="2" t="s">
        <v>2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>
      <c r="A545" s="2" t="s">
        <v>2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>
      <c r="A546" s="2" t="s">
        <v>2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>
      <c r="A547" s="2" t="s">
        <v>2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>
      <c r="A548" s="2" t="s">
        <v>2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>
      <c r="A549" s="2" t="s">
        <v>2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>
      <c r="A550" s="2" t="s">
        <v>2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>
      <c r="A551" s="2" t="s">
        <v>2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>
      <c r="A552" s="2" t="s">
        <v>2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>
      <c r="A553" s="2" t="s">
        <v>2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>
      <c r="A554" s="2" t="s">
        <v>2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>
      <c r="A555" s="2" t="s">
        <v>2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>
      <c r="A556" s="2" t="s">
        <v>2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>
      <c r="A557" s="2" t="s">
        <v>2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>
      <c r="A558" s="2" t="s">
        <v>2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>
      <c r="A559" s="2" t="s">
        <v>2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>
      <c r="A560" s="2" t="s">
        <v>2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>
      <c r="A561" s="2" t="s">
        <v>2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>
      <c r="A562" s="2" t="s">
        <v>2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>
      <c r="A563" s="2" t="s">
        <v>2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>
      <c r="A564" s="2" t="s">
        <v>2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>
      <c r="A565" s="2" t="s">
        <v>2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>
      <c r="A566" s="2" t="s">
        <v>2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>
      <c r="A567" s="2" t="s">
        <v>2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>
      <c r="A568" s="2" t="s">
        <v>2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>
      <c r="A569" s="2" t="s">
        <v>2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>
      <c r="A570" s="2" t="s">
        <v>2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>
      <c r="A571" s="2" t="s">
        <v>2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>
      <c r="A572" s="2" t="s">
        <v>2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>
      <c r="A573" s="2" t="s">
        <v>2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>
      <c r="A574" s="2" t="s">
        <v>2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>
      <c r="A575" s="2" t="s">
        <v>2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>
      <c r="A576" s="2" t="s">
        <v>2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>
      <c r="A577" s="2" t="s">
        <v>2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>
      <c r="A578" s="2" t="s">
        <v>2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>
      <c r="A579" s="2" t="s">
        <v>2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>
      <c r="A580" s="2" t="s">
        <v>2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>
      <c r="A581" s="2" t="s">
        <v>2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>
      <c r="A582" s="2" t="s">
        <v>2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>
      <c r="A583" s="2" t="s">
        <v>2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>
      <c r="A584" s="2" t="s">
        <v>2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>
      <c r="A585" s="2" t="s">
        <v>2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>
      <c r="A586" s="2" t="s">
        <v>2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>
      <c r="A587" s="2" t="s">
        <v>2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>
      <c r="A588" s="2" t="s">
        <v>2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>
      <c r="A589" s="2" t="s">
        <v>2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>
      <c r="A590" s="2" t="s">
        <v>2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>
      <c r="A591" s="2" t="s">
        <v>2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>
      <c r="A592" s="2" t="s">
        <v>2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>
      <c r="A593" s="2" t="s">
        <v>2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>
      <c r="A594" s="2" t="s">
        <v>2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>
      <c r="A595" s="2" t="s">
        <v>2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>
      <c r="A596" s="2" t="s">
        <v>2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>
      <c r="A597" s="2" t="s">
        <v>2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>
      <c r="A598" s="2" t="s">
        <v>2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>
      <c r="A599" s="2" t="s">
        <v>2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>
      <c r="A600" s="2" t="s">
        <v>2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>
      <c r="A601" s="2" t="s">
        <v>2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>
      <c r="A602" s="2" t="s">
        <v>2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>
      <c r="A603" s="2" t="s">
        <v>2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>
      <c r="A604" s="2" t="s">
        <v>2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>
      <c r="A605" s="2" t="s">
        <v>2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>
      <c r="A606" s="2" t="s">
        <v>2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>
      <c r="A607" s="2" t="s">
        <v>2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>
      <c r="A608" s="2" t="s">
        <v>2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>
      <c r="A609" s="2" t="s">
        <v>2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>
      <c r="A610" s="2" t="s">
        <v>2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>
      <c r="A611" s="2" t="s">
        <v>2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>
      <c r="A612" s="2" t="s">
        <v>2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>
      <c r="A613" s="2" t="s">
        <v>2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>
      <c r="A614" s="2" t="s">
        <v>2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>
      <c r="A615" s="2" t="s">
        <v>2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>
      <c r="A616" s="2" t="s">
        <v>2</v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>
      <c r="A617" s="2" t="s">
        <v>2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>
      <c r="A618" s="2" t="s">
        <v>2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>
      <c r="A619" s="2" t="s">
        <v>2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>
      <c r="A620" s="2" t="s">
        <v>2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>
      <c r="A621" s="2" t="s">
        <v>2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>
      <c r="A622" s="2" t="s">
        <v>2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>
      <c r="A623" s="2" t="s">
        <v>2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>
      <c r="A624" s="2" t="s">
        <v>2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>
      <c r="A625" s="2" t="s">
        <v>2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>
      <c r="A626" s="2" t="s">
        <v>2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>
      <c r="A627" s="2" t="s">
        <v>2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>
      <c r="A628" s="2" t="s">
        <v>2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>
      <c r="A629" s="2" t="s">
        <v>2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>
      <c r="A630" s="2" t="s">
        <v>2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>
      <c r="A631" s="2" t="s">
        <v>2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>
      <c r="A632" s="2" t="s">
        <v>2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>
      <c r="A633" s="2" t="s">
        <v>2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>
      <c r="A634" s="2" t="s">
        <v>2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>
      <c r="A635" s="2" t="s">
        <v>2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>
      <c r="A636" s="2" t="s">
        <v>2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>
      <c r="A637" s="2" t="s">
        <v>2</v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>
      <c r="A638" s="2" t="s">
        <v>2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>
      <c r="A639" s="2" t="s">
        <v>2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>
      <c r="A640" s="2" t="s">
        <v>2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>
      <c r="A641" s="2" t="s">
        <v>2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>
      <c r="A642" s="2" t="s">
        <v>2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>
      <c r="A643" s="2" t="s">
        <v>2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>
      <c r="A644" s="2" t="s">
        <v>2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>
      <c r="A645" s="2" t="s">
        <v>2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>
      <c r="A646" s="2" t="s">
        <v>2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>
      <c r="A647" s="2" t="s">
        <v>2</v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>
      <c r="A648" s="2" t="s">
        <v>2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>
      <c r="A649" s="2" t="s">
        <v>2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>
      <c r="A650" s="2" t="s">
        <v>2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>
      <c r="A651" s="2" t="s">
        <v>2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>
      <c r="A652" s="2" t="s">
        <v>2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>
      <c r="A653" s="2" t="s">
        <v>2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>
      <c r="A654" s="2" t="s">
        <v>2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>
      <c r="A655" s="2" t="s">
        <v>2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>
      <c r="A656" s="2" t="s">
        <v>2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>
      <c r="A657" s="2" t="s">
        <v>2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>
      <c r="A658" s="2" t="s">
        <v>2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>
      <c r="A659" s="2" t="s">
        <v>2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>
      <c r="A660" s="2" t="s">
        <v>2</v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>
      <c r="A661" s="2" t="s">
        <v>2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>
      <c r="A662" s="2" t="s">
        <v>2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>
      <c r="A663" s="2" t="s">
        <v>2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>
      <c r="A664" s="2" t="s">
        <v>2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>
      <c r="A665" s="2" t="s">
        <v>2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>
      <c r="A666" s="2" t="s">
        <v>2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>
      <c r="A667" s="2" t="s">
        <v>2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>
      <c r="A668" s="2" t="s">
        <v>2</v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>
      <c r="A669" s="2" t="s">
        <v>2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>
      <c r="A670" s="2" t="s">
        <v>2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>
      <c r="A671" s="2" t="s">
        <v>2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>
      <c r="A672" s="2" t="s">
        <v>2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>
      <c r="A673" s="2" t="s">
        <v>2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>
      <c r="A674" s="2" t="s">
        <v>2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>
      <c r="A675" s="2" t="s">
        <v>2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>
      <c r="A676" s="2" t="s">
        <v>2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>
      <c r="A677" s="2" t="s">
        <v>2</v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>
      <c r="A678" s="2" t="s">
        <v>2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>
      <c r="A679" s="2" t="s">
        <v>2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>
      <c r="A680" s="2" t="s">
        <v>2</v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>
      <c r="A681" s="2" t="s">
        <v>2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>
      <c r="A682" s="2" t="s">
        <v>2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>
      <c r="A683" s="2" t="s">
        <v>2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>
      <c r="A684" s="2" t="s">
        <v>2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>
      <c r="A685" s="2" t="s">
        <v>2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>
      <c r="A686" s="2" t="s">
        <v>2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>
      <c r="A687" s="2" t="s">
        <v>2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>
      <c r="A688" s="2" t="s">
        <v>2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>
      <c r="A689" s="2" t="s">
        <v>2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>
      <c r="A690" s="2" t="s">
        <v>2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>
      <c r="A691" s="2" t="s">
        <v>2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>
      <c r="A692" s="2" t="s">
        <v>2</v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>
      <c r="A693" s="2" t="s">
        <v>2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>
      <c r="A694" s="2" t="s">
        <v>2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>
      <c r="A695" s="2" t="s">
        <v>2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>
      <c r="A696" s="2" t="s">
        <v>2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>
      <c r="A697" s="2" t="s">
        <v>2</v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>
      <c r="A698" s="2" t="s">
        <v>2</v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>
      <c r="A699" s="2" t="s">
        <v>2</v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>
      <c r="A700" s="2" t="s">
        <v>2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>
      <c r="A701" s="2" t="s">
        <v>2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>
      <c r="A702" s="2" t="s">
        <v>2</v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>
      <c r="A703" s="2" t="s">
        <v>2</v>
      </c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>
      <c r="A704" s="2" t="s">
        <v>2</v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>
      <c r="A705" s="2" t="s">
        <v>2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>
      <c r="A706" s="2" t="s">
        <v>2</v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>
      <c r="A707" s="2" t="s">
        <v>2</v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>
      <c r="A708" s="2" t="s">
        <v>2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>
      <c r="A709" s="2" t="s">
        <v>2</v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>
      <c r="A710" s="2" t="s">
        <v>2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>
      <c r="A711" s="2" t="s">
        <v>2</v>
      </c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>
      <c r="A712" s="2" t="s">
        <v>2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>
      <c r="A713" s="2" t="s">
        <v>2</v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>
      <c r="A714" s="2" t="s">
        <v>2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>
      <c r="A715" s="2" t="s">
        <v>2</v>
      </c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>
      <c r="A716" s="2" t="s">
        <v>2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>
      <c r="A717" s="2" t="s">
        <v>2</v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>
      <c r="A718" s="2" t="s">
        <v>2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>
      <c r="A719" s="2" t="s">
        <v>2</v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>
      <c r="A720" s="2" t="s">
        <v>2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>
      <c r="A721" s="2" t="s">
        <v>2</v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>
      <c r="A722" s="2" t="s">
        <v>2</v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>
      <c r="A723" s="2" t="s">
        <v>2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>
      <c r="A724" s="2" t="s">
        <v>2</v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>
      <c r="A725" s="2" t="s">
        <v>2</v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>
      <c r="A726" s="2" t="s">
        <v>2</v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>
      <c r="A727" s="2" t="s">
        <v>2</v>
      </c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>
      <c r="A728" s="2" t="s">
        <v>2</v>
      </c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>
      <c r="A729" s="2" t="s">
        <v>2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>
      <c r="A730" s="2" t="s">
        <v>2</v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>
      <c r="A731" s="2" t="s">
        <v>2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>
      <c r="A732" s="2" t="s">
        <v>2</v>
      </c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>
      <c r="A733" s="2" t="s">
        <v>2</v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>
      <c r="A734" s="2" t="s">
        <v>2</v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>
      <c r="A735" s="2" t="s">
        <v>2</v>
      </c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>
      <c r="A736" s="2" t="s">
        <v>2</v>
      </c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>
      <c r="A737" s="2" t="s">
        <v>2</v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>
      <c r="A738" s="2" t="s">
        <v>2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>
      <c r="A739" s="2" t="s">
        <v>2</v>
      </c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>
      <c r="A740" s="2" t="s">
        <v>2</v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>
      <c r="A741" s="2" t="s">
        <v>2</v>
      </c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>
      <c r="A742" s="2" t="s">
        <v>2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>
      <c r="A743" s="2" t="s">
        <v>2</v>
      </c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>
      <c r="A744" s="2" t="s">
        <v>2</v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>
      <c r="A745" s="2" t="s">
        <v>2</v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>
      <c r="A746" s="2" t="s">
        <v>2</v>
      </c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>
      <c r="A747" s="2" t="s">
        <v>2</v>
      </c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>
      <c r="A748" s="2" t="s">
        <v>2</v>
      </c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>
      <c r="A749" s="2" t="s">
        <v>2</v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>
      <c r="A750" s="2" t="s">
        <v>2</v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>
      <c r="A751" s="2" t="s">
        <v>2</v>
      </c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>
      <c r="A752" s="2" t="s">
        <v>2</v>
      </c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>
      <c r="A753" s="2" t="s">
        <v>2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>
      <c r="A754" s="2" t="s">
        <v>2</v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>
      <c r="A755" s="2" t="s">
        <v>2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>
      <c r="A756" s="2" t="s">
        <v>2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>
      <c r="A757" s="2" t="s">
        <v>2</v>
      </c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>
      <c r="A758" s="2" t="s">
        <v>2</v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>
      <c r="A759" s="2" t="s">
        <v>2</v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>
      <c r="A760" s="2" t="s">
        <v>2</v>
      </c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>
      <c r="A761" s="2" t="s">
        <v>2</v>
      </c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>
      <c r="A762" s="2" t="s">
        <v>2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>
      <c r="A763" s="2" t="s">
        <v>2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>
      <c r="A764" s="2" t="s">
        <v>2</v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>
      <c r="A765" s="2" t="s">
        <v>2</v>
      </c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>
      <c r="A766" s="2" t="s">
        <v>2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>
      <c r="A767" s="2" t="s">
        <v>2</v>
      </c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>
      <c r="A768" s="2" t="s">
        <v>2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>
      <c r="A769" s="2" t="s">
        <v>2</v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>
      <c r="A770" s="2" t="s">
        <v>2</v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>
      <c r="A771" s="2" t="s">
        <v>2</v>
      </c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>
      <c r="A772" s="2" t="s">
        <v>2</v>
      </c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>
      <c r="A773" s="2" t="s">
        <v>2</v>
      </c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>
      <c r="A774" s="2" t="s">
        <v>2</v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>
      <c r="A775" s="2" t="s">
        <v>2</v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>
      <c r="A776" s="2" t="s">
        <v>2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>
      <c r="A777" s="2" t="s">
        <v>2</v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>
      <c r="A778" s="2" t="s">
        <v>2</v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>
      <c r="A779" s="2" t="s">
        <v>2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>
      <c r="A780" s="2" t="s">
        <v>2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>
      <c r="A781" s="2" t="s">
        <v>2</v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>
      <c r="A782" s="2" t="s">
        <v>2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>
      <c r="A783" s="2" t="s">
        <v>2</v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>
      <c r="A784" s="2" t="s">
        <v>2</v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>
      <c r="A785" s="2" t="s">
        <v>2</v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>
      <c r="A786" s="2" t="s">
        <v>2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>
      <c r="A787" s="2" t="s">
        <v>2</v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>
      <c r="A788" s="2" t="s">
        <v>2</v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>
      <c r="A789" s="2" t="s">
        <v>2</v>
      </c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>
      <c r="A790" s="2" t="s">
        <v>2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>
      <c r="A791" s="2" t="s">
        <v>2</v>
      </c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>
      <c r="A792" s="2" t="s">
        <v>2</v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>
      <c r="A793" s="2" t="s">
        <v>2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>
      <c r="A794" s="2" t="s">
        <v>2</v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>
      <c r="A795" s="2" t="s">
        <v>2</v>
      </c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>
      <c r="A796" s="2" t="s">
        <v>2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>
      <c r="A797" s="2" t="s">
        <v>2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>
      <c r="A798" s="2" t="s">
        <v>2</v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>
      <c r="A799" s="2" t="s">
        <v>2</v>
      </c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>
      <c r="A800" s="2" t="s">
        <v>2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>
      <c r="A801" s="2" t="s">
        <v>2</v>
      </c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>
      <c r="A802" s="2" t="s">
        <v>2</v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>
      <c r="A803" s="2" t="s">
        <v>2</v>
      </c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>
      <c r="A804" s="2" t="s">
        <v>2</v>
      </c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>
      <c r="A805" s="2" t="s">
        <v>2</v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>
      <c r="A806" s="2" t="s">
        <v>2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>
      <c r="A807" s="2" t="s">
        <v>2</v>
      </c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>
      <c r="A808" s="2" t="s">
        <v>2</v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>
      <c r="A809" s="2" t="s">
        <v>2</v>
      </c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>
      <c r="A810" s="2" t="s">
        <v>2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>
      <c r="A811" s="2" t="s">
        <v>2</v>
      </c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>
      <c r="A812" s="2" t="s">
        <v>2</v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>
      <c r="A813" s="2" t="s">
        <v>2</v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>
      <c r="A814" s="2" t="s">
        <v>2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>
      <c r="A815" s="2" t="s">
        <v>2</v>
      </c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>
      <c r="A816" s="2" t="s">
        <v>2</v>
      </c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>
      <c r="A817" s="2" t="s">
        <v>2</v>
      </c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>
      <c r="A818" s="2" t="s">
        <v>2</v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>
      <c r="A819" s="2" t="s">
        <v>2</v>
      </c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>
      <c r="A820" s="2" t="s">
        <v>2</v>
      </c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>
      <c r="A821" s="2" t="s">
        <v>2</v>
      </c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>
      <c r="A822" s="2" t="s">
        <v>2</v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>
      <c r="A823" s="2" t="s">
        <v>2</v>
      </c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>
      <c r="A824" s="2" t="s">
        <v>2</v>
      </c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>
      <c r="A825" s="2" t="s">
        <v>2</v>
      </c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>
      <c r="A826" s="2" t="s">
        <v>2</v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>
      <c r="A827" s="2" t="s">
        <v>2</v>
      </c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>
      <c r="A828" s="2" t="s">
        <v>2</v>
      </c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>
      <c r="A829" s="2" t="s">
        <v>2</v>
      </c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>
      <c r="A830" s="2" t="s">
        <v>2</v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>
      <c r="A831" s="2" t="s">
        <v>2</v>
      </c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>
      <c r="A832" s="2" t="s">
        <v>2</v>
      </c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>
      <c r="A833" s="2" t="s">
        <v>2</v>
      </c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>
      <c r="A834" s="2" t="s">
        <v>2</v>
      </c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>
      <c r="A835" s="2" t="s">
        <v>2</v>
      </c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>
      <c r="A836" s="2" t="s">
        <v>2</v>
      </c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>
      <c r="A837" s="2" t="s">
        <v>2</v>
      </c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>
      <c r="A838" s="2" t="s">
        <v>2</v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>
      <c r="A839" s="2" t="s">
        <v>2</v>
      </c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>
      <c r="A840" s="2" t="s">
        <v>2</v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>
      <c r="A841" s="2" t="s">
        <v>2</v>
      </c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>
      <c r="A842" s="2" t="s">
        <v>2</v>
      </c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>
      <c r="A843" s="2" t="s">
        <v>2</v>
      </c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>
      <c r="A844" s="2" t="s">
        <v>2</v>
      </c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>
      <c r="A845" s="2" t="s">
        <v>2</v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>
      <c r="A846" s="2" t="s">
        <v>2</v>
      </c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>
      <c r="A847" s="2" t="s">
        <v>2</v>
      </c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>
      <c r="A848" s="2" t="s">
        <v>2</v>
      </c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>
      <c r="A849" s="2" t="s">
        <v>2</v>
      </c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>
      <c r="A850" s="2" t="s">
        <v>2</v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>
      <c r="A851" s="2" t="s">
        <v>2</v>
      </c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>
      <c r="A852" s="2" t="s">
        <v>2</v>
      </c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>
      <c r="A853" s="2" t="s">
        <v>2</v>
      </c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>
      <c r="A854" s="2" t="s">
        <v>2</v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>
      <c r="A855" s="2" t="s">
        <v>2</v>
      </c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>
      <c r="A856" s="2" t="s">
        <v>2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>
      <c r="A857" s="2" t="s">
        <v>2</v>
      </c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>
      <c r="A858" s="2" t="s">
        <v>2</v>
      </c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>
      <c r="A859" s="2" t="s">
        <v>2</v>
      </c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>
      <c r="A860" s="2" t="s">
        <v>2</v>
      </c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>
      <c r="A861" s="2" t="s">
        <v>2</v>
      </c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>
      <c r="A862" s="2" t="s">
        <v>2</v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>
      <c r="A863" s="2" t="s">
        <v>2</v>
      </c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>
      <c r="A864" s="2" t="s">
        <v>2</v>
      </c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>
      <c r="A865" s="2" t="s">
        <v>2</v>
      </c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>
      <c r="A866" s="2" t="s">
        <v>2</v>
      </c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>
      <c r="A867" s="2" t="s">
        <v>2</v>
      </c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>
      <c r="A868" s="2" t="s">
        <v>2</v>
      </c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>
      <c r="A869" s="2" t="s">
        <v>2</v>
      </c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>
      <c r="A870" s="2" t="s">
        <v>2</v>
      </c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>
      <c r="A871" s="2" t="s">
        <v>2</v>
      </c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>
      <c r="A872" s="2" t="s">
        <v>2</v>
      </c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>
      <c r="A873" s="2" t="s">
        <v>2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>
      <c r="A874" s="2" t="s">
        <v>2</v>
      </c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>
      <c r="A875" s="2" t="s">
        <v>2</v>
      </c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>
      <c r="A876" s="2" t="s">
        <v>2</v>
      </c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>
      <c r="A877" s="2" t="s">
        <v>2</v>
      </c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>
      <c r="A878" s="2" t="s">
        <v>2</v>
      </c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>
      <c r="A879" s="2" t="s">
        <v>2</v>
      </c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>
      <c r="A880" s="2" t="s">
        <v>2</v>
      </c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>
      <c r="A881" s="2" t="s">
        <v>2</v>
      </c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>
      <c r="A882" s="2" t="s">
        <v>2</v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>
      <c r="A883" s="2" t="s">
        <v>2</v>
      </c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>
      <c r="A884" s="2" t="s">
        <v>2</v>
      </c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>
      <c r="A885" s="2" t="s">
        <v>2</v>
      </c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>
      <c r="A886" s="2" t="s">
        <v>2</v>
      </c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>
      <c r="A887" s="2" t="s">
        <v>2</v>
      </c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>
      <c r="A888" s="2" t="s">
        <v>2</v>
      </c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>
      <c r="A889" s="2" t="s">
        <v>2</v>
      </c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>
      <c r="A890" s="2" t="s">
        <v>2</v>
      </c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>
      <c r="A891" s="2" t="s">
        <v>2</v>
      </c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>
      <c r="A892" s="2" t="s">
        <v>2</v>
      </c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>
      <c r="A893" s="2" t="s">
        <v>2</v>
      </c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>
      <c r="A894" s="2" t="s">
        <v>2</v>
      </c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>
      <c r="A895" s="2" t="s">
        <v>2</v>
      </c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>
      <c r="A896" s="2" t="s">
        <v>2</v>
      </c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>
      <c r="A897" s="2" t="s">
        <v>2</v>
      </c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>
      <c r="A898" s="2" t="s">
        <v>2</v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>
      <c r="A899" s="2" t="s">
        <v>2</v>
      </c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>
      <c r="A900" s="2" t="s">
        <v>2</v>
      </c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>
      <c r="A901" s="2" t="s">
        <v>2</v>
      </c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>
      <c r="A902" s="2" t="s">
        <v>2</v>
      </c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>
      <c r="A903" s="2" t="s">
        <v>2</v>
      </c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>
      <c r="A904" s="2" t="s">
        <v>2</v>
      </c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>
      <c r="A905" s="2" t="s">
        <v>2</v>
      </c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>
      <c r="A906" s="2" t="s">
        <v>2</v>
      </c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>
      <c r="A907" s="2" t="s">
        <v>2</v>
      </c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>
      <c r="A908" s="2" t="s">
        <v>2</v>
      </c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>
      <c r="A909" s="2" t="s">
        <v>2</v>
      </c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>
      <c r="A910" s="2" t="s">
        <v>2</v>
      </c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>
      <c r="A911" s="2" t="s">
        <v>2</v>
      </c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>
      <c r="A912" s="2" t="s">
        <v>2</v>
      </c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>
      <c r="A913" s="2" t="s">
        <v>2</v>
      </c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>
      <c r="A914" s="2" t="s">
        <v>2</v>
      </c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>
      <c r="A915" s="2" t="s">
        <v>2</v>
      </c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>
      <c r="A916" s="2" t="s">
        <v>2</v>
      </c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>
      <c r="A917" s="2" t="s">
        <v>2</v>
      </c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>
      <c r="A918" s="2" t="s">
        <v>2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>
      <c r="A919" s="2" t="s">
        <v>2</v>
      </c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>
      <c r="A920" s="2" t="s">
        <v>2</v>
      </c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>
      <c r="A921" s="2" t="s">
        <v>2</v>
      </c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>
      <c r="A922" s="2" t="s">
        <v>2</v>
      </c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>
      <c r="A923" s="2" t="s">
        <v>2</v>
      </c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>
      <c r="A924" s="2" t="s">
        <v>2</v>
      </c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>
      <c r="A925" s="2" t="s">
        <v>2</v>
      </c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>
      <c r="A926" s="2" t="s">
        <v>2</v>
      </c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>
      <c r="A927" s="2" t="s">
        <v>2</v>
      </c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>
      <c r="A928" s="2" t="s">
        <v>2</v>
      </c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>
      <c r="A929" s="2" t="s">
        <v>2</v>
      </c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>
      <c r="A930" s="2" t="s">
        <v>2</v>
      </c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>
      <c r="A931" s="2" t="s">
        <v>2</v>
      </c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>
      <c r="A932" s="2" t="s">
        <v>2</v>
      </c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>
      <c r="A933" s="2" t="s">
        <v>2</v>
      </c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>
      <c r="A934" s="2" t="s">
        <v>2</v>
      </c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>
      <c r="A935" s="2" t="s">
        <v>2</v>
      </c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>
      <c r="A936" s="2" t="s">
        <v>2</v>
      </c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>
      <c r="A937" s="2" t="s">
        <v>2</v>
      </c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>
      <c r="A938" s="2" t="s">
        <v>2</v>
      </c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>
      <c r="A939" s="2" t="s">
        <v>2</v>
      </c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>
      <c r="A940" s="2" t="s">
        <v>2</v>
      </c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>
      <c r="A941" s="2" t="s">
        <v>2</v>
      </c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>
      <c r="A942" s="2" t="s">
        <v>2</v>
      </c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>
      <c r="A943" s="2" t="s">
        <v>2</v>
      </c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>
      <c r="A944" s="2" t="s">
        <v>2</v>
      </c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>
      <c r="A945" s="2" t="s">
        <v>2</v>
      </c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>
      <c r="A946" s="2" t="s">
        <v>2</v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>
      <c r="A947" s="2" t="s">
        <v>2</v>
      </c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>
      <c r="A948" s="2" t="s">
        <v>2</v>
      </c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>
      <c r="A949" s="2" t="s">
        <v>2</v>
      </c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>
      <c r="A950" s="2" t="s">
        <v>2</v>
      </c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>
      <c r="A951" s="2" t="s">
        <v>2</v>
      </c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>
      <c r="A952" s="2" t="s">
        <v>2</v>
      </c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>
      <c r="A953" s="2" t="s">
        <v>2</v>
      </c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>
      <c r="A954" s="2" t="s">
        <v>2</v>
      </c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>
      <c r="A955" s="2" t="s">
        <v>2</v>
      </c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>
      <c r="A956" s="2" t="s">
        <v>2</v>
      </c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</sheetData>
  <mergeCells count="3">
    <mergeCell ref="B79:M79"/>
    <mergeCell ref="B157:M157"/>
    <mergeCell ref="B235:M235"/>
  </mergeCells>
  <dataValidations>
    <dataValidation type="list" allowBlank="1" showErrorMessage="1" sqref="L6:L78 L80:L156 L158:L234 L236:L956">
      <formula1>Sheet2!$I$1:$I$2</formula1>
    </dataValidation>
    <dataValidation type="list" allowBlank="1" showErrorMessage="1" sqref="D6:D78 D80:D156 D158:D234 D236:D956">
      <formula1>Sheet2!$A$1:$A$5</formula1>
    </dataValidation>
    <dataValidation type="list" allowBlank="1" showErrorMessage="1" sqref="F6:F78 F80:F156 F158:F234 F236:F956">
      <formula1>Sheet2!$C$1:$C$2</formula1>
    </dataValidation>
    <dataValidation type="list" allowBlank="1" showErrorMessage="1" sqref="H6:H78 H80:H156 H158:H234 H236:H956">
      <formula1>Sheet2!$E$1:$E$2</formula1>
    </dataValidation>
    <dataValidation type="list" allowBlank="1" showErrorMessage="1" sqref="J6:J78 J80:J156 J158:J234 J236:J956">
      <formula1>Sheet2!$G$1:$G$5</formula1>
    </dataValidation>
    <dataValidation type="list" allowBlank="1" showErrorMessage="1" sqref="K6:K78 K80:K156 K158:K234 K236:K956">
      <formula1>Sheet2!$H$1:$H$2</formula1>
    </dataValidation>
    <dataValidation type="list" allowBlank="1" showErrorMessage="1" sqref="G6:G78 G80:G156 G158:G234 G236:G956">
      <formula1>Sheet2!$D$1:$D$5</formula1>
    </dataValidation>
  </dataValidations>
  <hyperlinks>
    <hyperlink r:id="rId4" ref="C6"/>
    <hyperlink r:id="rId5" ref="M6"/>
    <hyperlink r:id="rId6" ref="C7"/>
    <hyperlink r:id="rId7" ref="M7"/>
    <hyperlink r:id="rId8" ref="C8"/>
    <hyperlink r:id="rId9" ref="M8"/>
    <hyperlink r:id="rId10" ref="C9"/>
    <hyperlink r:id="rId11" ref="M9"/>
    <hyperlink r:id="rId12" ref="C10"/>
    <hyperlink r:id="rId13" ref="M10"/>
    <hyperlink r:id="rId14" ref="C11"/>
    <hyperlink r:id="rId15" ref="M11"/>
    <hyperlink r:id="rId16" ref="C12"/>
    <hyperlink r:id="rId17" ref="M12"/>
    <hyperlink r:id="rId18" ref="C13"/>
    <hyperlink r:id="rId19" ref="M13"/>
    <hyperlink r:id="rId20" ref="C14"/>
    <hyperlink r:id="rId21" ref="M14"/>
    <hyperlink r:id="rId22" ref="C15"/>
    <hyperlink r:id="rId23" ref="M15"/>
    <hyperlink r:id="rId24" ref="C16"/>
    <hyperlink r:id="rId25" ref="M16"/>
    <hyperlink r:id="rId26" ref="C17"/>
    <hyperlink r:id="rId27" ref="M17"/>
    <hyperlink r:id="rId28" ref="C18"/>
    <hyperlink r:id="rId29" ref="M18"/>
    <hyperlink r:id="rId30" ref="C19"/>
    <hyperlink r:id="rId31" ref="M19"/>
    <hyperlink r:id="rId32" ref="C20"/>
    <hyperlink r:id="rId33" ref="M20"/>
    <hyperlink r:id="rId34" ref="C21"/>
    <hyperlink r:id="rId35" ref="M21"/>
    <hyperlink r:id="rId36" ref="C22"/>
    <hyperlink r:id="rId37" ref="M22"/>
    <hyperlink r:id="rId38" ref="C23"/>
    <hyperlink r:id="rId39" ref="M23"/>
    <hyperlink r:id="rId40" ref="C24"/>
    <hyperlink r:id="rId41" ref="M24"/>
    <hyperlink r:id="rId42" ref="C25"/>
    <hyperlink r:id="rId43" ref="M25"/>
    <hyperlink r:id="rId44" ref="C26"/>
    <hyperlink r:id="rId45" ref="M26"/>
    <hyperlink r:id="rId46" ref="C27"/>
    <hyperlink r:id="rId47" ref="M27"/>
    <hyperlink r:id="rId48" ref="C28"/>
    <hyperlink r:id="rId49" ref="M28"/>
    <hyperlink r:id="rId50" ref="C29"/>
    <hyperlink r:id="rId51" ref="M29"/>
    <hyperlink r:id="rId52" ref="C30"/>
    <hyperlink r:id="rId53" ref="M30"/>
    <hyperlink r:id="rId54" ref="C31"/>
    <hyperlink r:id="rId55" ref="M31"/>
    <hyperlink r:id="rId56" ref="C32"/>
    <hyperlink r:id="rId57" ref="M32"/>
    <hyperlink r:id="rId58" ref="C33"/>
    <hyperlink r:id="rId59" ref="M33"/>
    <hyperlink r:id="rId60" ref="C34"/>
    <hyperlink r:id="rId61" ref="M34"/>
    <hyperlink r:id="rId62" ref="C35"/>
    <hyperlink r:id="rId63" ref="M35"/>
    <hyperlink r:id="rId64" ref="C36"/>
    <hyperlink r:id="rId65" ref="M36"/>
    <hyperlink r:id="rId66" ref="C37"/>
    <hyperlink r:id="rId67" ref="M37"/>
    <hyperlink r:id="rId68" ref="C38"/>
    <hyperlink r:id="rId69" ref="M38"/>
    <hyperlink r:id="rId70" ref="C39"/>
    <hyperlink r:id="rId71" ref="M39"/>
    <hyperlink r:id="rId72" ref="C40"/>
    <hyperlink r:id="rId73" ref="M40"/>
    <hyperlink r:id="rId74" ref="C41"/>
    <hyperlink r:id="rId75" ref="M41"/>
    <hyperlink r:id="rId76" ref="C42"/>
    <hyperlink r:id="rId77" ref="M42"/>
    <hyperlink r:id="rId78" ref="C43"/>
    <hyperlink r:id="rId79" ref="M43"/>
    <hyperlink r:id="rId80" ref="C44"/>
    <hyperlink r:id="rId81" ref="M44"/>
    <hyperlink r:id="rId82" ref="C45"/>
    <hyperlink r:id="rId83" ref="M45"/>
    <hyperlink r:id="rId84" ref="C46"/>
    <hyperlink r:id="rId85" ref="M46"/>
    <hyperlink r:id="rId86" ref="C47"/>
    <hyperlink r:id="rId87" ref="M47"/>
    <hyperlink r:id="rId88" ref="C48"/>
    <hyperlink r:id="rId89" ref="M48"/>
    <hyperlink r:id="rId90" ref="C49"/>
    <hyperlink r:id="rId91" ref="M49"/>
    <hyperlink r:id="rId92" ref="C50"/>
    <hyperlink r:id="rId93" ref="M50"/>
    <hyperlink r:id="rId94" ref="C51"/>
    <hyperlink r:id="rId95" ref="M51"/>
    <hyperlink r:id="rId96" ref="C52"/>
    <hyperlink r:id="rId97" ref="M52"/>
    <hyperlink r:id="rId98" ref="C53"/>
    <hyperlink r:id="rId99" ref="M53"/>
    <hyperlink r:id="rId100" ref="C54"/>
    <hyperlink r:id="rId101" ref="M54"/>
    <hyperlink r:id="rId102" ref="C55"/>
    <hyperlink r:id="rId103" ref="M55"/>
    <hyperlink r:id="rId104" ref="C56"/>
    <hyperlink r:id="rId105" ref="M56"/>
    <hyperlink r:id="rId106" ref="C57"/>
    <hyperlink r:id="rId107" ref="M57"/>
    <hyperlink r:id="rId108" ref="C58"/>
    <hyperlink r:id="rId109" ref="M58"/>
    <hyperlink r:id="rId110" ref="C59"/>
    <hyperlink r:id="rId111" ref="M59"/>
    <hyperlink r:id="rId112" ref="C60"/>
    <hyperlink r:id="rId113" ref="M60"/>
    <hyperlink r:id="rId114" ref="C61"/>
    <hyperlink r:id="rId115" ref="M61"/>
    <hyperlink r:id="rId116" ref="C62"/>
    <hyperlink r:id="rId117" ref="M62"/>
    <hyperlink r:id="rId118" ref="C63"/>
    <hyperlink r:id="rId119" ref="M63"/>
    <hyperlink r:id="rId120" ref="C64"/>
    <hyperlink r:id="rId121" ref="M64"/>
    <hyperlink r:id="rId122" ref="C65"/>
    <hyperlink r:id="rId123" ref="M65"/>
    <hyperlink r:id="rId124" ref="C66"/>
    <hyperlink r:id="rId125" ref="M66"/>
    <hyperlink r:id="rId126" ref="C67"/>
    <hyperlink r:id="rId127" ref="M67"/>
    <hyperlink r:id="rId128" ref="C68"/>
    <hyperlink r:id="rId129" ref="M68"/>
    <hyperlink r:id="rId130" ref="C69"/>
    <hyperlink r:id="rId131" ref="M69"/>
    <hyperlink r:id="rId132" ref="C70"/>
    <hyperlink r:id="rId133" ref="M70"/>
    <hyperlink r:id="rId134" ref="C71"/>
    <hyperlink r:id="rId135" ref="M71"/>
    <hyperlink r:id="rId136" ref="C72"/>
    <hyperlink r:id="rId137" ref="M72"/>
    <hyperlink r:id="rId138" ref="C73"/>
    <hyperlink r:id="rId139" ref="M73"/>
    <hyperlink r:id="rId140" ref="C74"/>
    <hyperlink r:id="rId141" ref="M74"/>
    <hyperlink r:id="rId142" ref="C75"/>
    <hyperlink r:id="rId143" ref="M75"/>
    <hyperlink r:id="rId144" ref="C76"/>
    <hyperlink r:id="rId145" ref="M76"/>
    <hyperlink r:id="rId146" ref="C77"/>
    <hyperlink r:id="rId147" ref="M77"/>
    <hyperlink r:id="rId148" ref="C78"/>
    <hyperlink r:id="rId149" ref="M78"/>
    <hyperlink r:id="rId150" ref="C80"/>
    <hyperlink r:id="rId151" ref="M80"/>
    <hyperlink r:id="rId152" ref="C81"/>
    <hyperlink r:id="rId153" ref="M81"/>
    <hyperlink r:id="rId154" ref="C82"/>
    <hyperlink r:id="rId155" ref="M82"/>
    <hyperlink r:id="rId156" ref="C83"/>
    <hyperlink r:id="rId157" ref="M83"/>
    <hyperlink r:id="rId158" ref="C84"/>
    <hyperlink r:id="rId159" ref="M84"/>
    <hyperlink r:id="rId160" ref="C85"/>
    <hyperlink r:id="rId161" ref="M85"/>
    <hyperlink r:id="rId162" ref="C86"/>
    <hyperlink r:id="rId163" ref="M86"/>
    <hyperlink r:id="rId164" ref="C87"/>
    <hyperlink r:id="rId165" ref="M87"/>
    <hyperlink r:id="rId166" ref="C88"/>
    <hyperlink r:id="rId167" ref="M88"/>
    <hyperlink r:id="rId168" ref="C89"/>
    <hyperlink r:id="rId169" ref="M89"/>
    <hyperlink r:id="rId170" ref="C90"/>
    <hyperlink r:id="rId171" ref="M90"/>
    <hyperlink r:id="rId172" ref="C91"/>
    <hyperlink r:id="rId173" ref="M91"/>
    <hyperlink r:id="rId174" ref="C92"/>
    <hyperlink r:id="rId175" ref="M92"/>
    <hyperlink r:id="rId176" ref="C93"/>
    <hyperlink r:id="rId177" ref="M93"/>
    <hyperlink r:id="rId178" ref="C94"/>
    <hyperlink r:id="rId179" ref="M94"/>
    <hyperlink r:id="rId180" ref="C95"/>
    <hyperlink r:id="rId181" ref="M95"/>
    <hyperlink r:id="rId182" ref="C96"/>
    <hyperlink r:id="rId183" ref="M96"/>
    <hyperlink r:id="rId184" ref="C97"/>
    <hyperlink r:id="rId185" ref="M97"/>
    <hyperlink r:id="rId186" ref="C98"/>
    <hyperlink r:id="rId187" ref="M98"/>
    <hyperlink r:id="rId188" ref="C99"/>
    <hyperlink r:id="rId189" ref="M99"/>
    <hyperlink r:id="rId190" ref="C100"/>
    <hyperlink r:id="rId191" ref="M100"/>
    <hyperlink r:id="rId192" ref="C101"/>
    <hyperlink r:id="rId193" ref="M101"/>
    <hyperlink r:id="rId194" ref="C102"/>
    <hyperlink r:id="rId195" ref="M102"/>
    <hyperlink r:id="rId196" ref="C103"/>
    <hyperlink r:id="rId197" ref="M103"/>
    <hyperlink r:id="rId198" ref="C104"/>
    <hyperlink r:id="rId199" ref="M104"/>
    <hyperlink r:id="rId200" ref="C105"/>
    <hyperlink r:id="rId201" ref="M105"/>
    <hyperlink r:id="rId202" ref="C106"/>
    <hyperlink r:id="rId203" ref="M106"/>
    <hyperlink r:id="rId204" ref="C107"/>
    <hyperlink r:id="rId205" ref="M107"/>
    <hyperlink r:id="rId206" ref="C108"/>
    <hyperlink r:id="rId207" ref="M108"/>
    <hyperlink r:id="rId208" ref="C109"/>
    <hyperlink r:id="rId209" ref="M109"/>
    <hyperlink r:id="rId210" ref="C110"/>
    <hyperlink r:id="rId211" ref="M110"/>
    <hyperlink r:id="rId212" ref="C111"/>
    <hyperlink r:id="rId213" ref="M111"/>
    <hyperlink r:id="rId214" ref="C112"/>
    <hyperlink r:id="rId215" ref="M112"/>
    <hyperlink r:id="rId216" ref="C113"/>
    <hyperlink r:id="rId217" ref="M113"/>
    <hyperlink r:id="rId218" ref="C114"/>
    <hyperlink r:id="rId219" ref="M114"/>
    <hyperlink r:id="rId220" ref="C115"/>
    <hyperlink r:id="rId221" ref="M115"/>
    <hyperlink r:id="rId222" ref="C116"/>
    <hyperlink r:id="rId223" ref="M116"/>
    <hyperlink r:id="rId224" ref="C117"/>
    <hyperlink r:id="rId225" ref="M117"/>
    <hyperlink r:id="rId226" ref="C118"/>
    <hyperlink r:id="rId227" ref="M118"/>
    <hyperlink r:id="rId228" ref="C119"/>
    <hyperlink r:id="rId229" ref="M119"/>
    <hyperlink r:id="rId230" ref="C120"/>
    <hyperlink r:id="rId231" ref="M120"/>
    <hyperlink r:id="rId232" ref="C121"/>
    <hyperlink r:id="rId233" ref="M121"/>
    <hyperlink r:id="rId234" ref="C122"/>
    <hyperlink r:id="rId235" ref="M122"/>
    <hyperlink r:id="rId236" ref="C123"/>
    <hyperlink r:id="rId237" ref="M123"/>
    <hyperlink r:id="rId238" ref="C124"/>
    <hyperlink r:id="rId239" ref="M124"/>
    <hyperlink r:id="rId240" ref="C125"/>
    <hyperlink r:id="rId241" ref="M125"/>
    <hyperlink r:id="rId242" ref="C126"/>
    <hyperlink r:id="rId243" ref="M126"/>
    <hyperlink r:id="rId244" ref="C127"/>
    <hyperlink r:id="rId245" ref="M127"/>
    <hyperlink r:id="rId246" ref="C128"/>
    <hyperlink r:id="rId247" ref="M128"/>
    <hyperlink r:id="rId248" ref="C129"/>
    <hyperlink r:id="rId249" ref="M129"/>
    <hyperlink r:id="rId250" ref="C130"/>
    <hyperlink r:id="rId251" ref="M130"/>
    <hyperlink r:id="rId252" ref="C131"/>
    <hyperlink r:id="rId253" ref="M131"/>
    <hyperlink r:id="rId254" ref="C132"/>
    <hyperlink r:id="rId255" ref="M132"/>
    <hyperlink r:id="rId256" ref="C133"/>
    <hyperlink r:id="rId257" ref="M133"/>
    <hyperlink r:id="rId258" ref="C134"/>
    <hyperlink r:id="rId259" ref="M134"/>
    <hyperlink r:id="rId260" ref="C135"/>
    <hyperlink r:id="rId261" ref="M135"/>
    <hyperlink r:id="rId262" ref="C136"/>
    <hyperlink r:id="rId263" ref="M136"/>
    <hyperlink r:id="rId264" ref="C137"/>
    <hyperlink r:id="rId265" ref="M137"/>
    <hyperlink r:id="rId266" ref="C138"/>
    <hyperlink r:id="rId267" ref="M138"/>
    <hyperlink r:id="rId268" ref="C139"/>
    <hyperlink r:id="rId269" ref="M139"/>
    <hyperlink r:id="rId270" ref="C140"/>
    <hyperlink r:id="rId271" ref="M140"/>
    <hyperlink r:id="rId272" ref="C141"/>
    <hyperlink r:id="rId273" ref="M141"/>
    <hyperlink r:id="rId274" ref="C142"/>
    <hyperlink r:id="rId275" ref="M142"/>
    <hyperlink r:id="rId276" ref="C143"/>
    <hyperlink r:id="rId277" ref="M143"/>
    <hyperlink r:id="rId278" ref="C144"/>
    <hyperlink r:id="rId279" ref="M144"/>
    <hyperlink r:id="rId280" ref="C145"/>
    <hyperlink r:id="rId281" ref="M145"/>
    <hyperlink r:id="rId282" ref="C146"/>
    <hyperlink r:id="rId283" ref="M146"/>
    <hyperlink r:id="rId284" ref="C147"/>
    <hyperlink r:id="rId285" ref="M147"/>
    <hyperlink r:id="rId286" ref="C148"/>
    <hyperlink r:id="rId287" ref="M148"/>
    <hyperlink r:id="rId288" ref="C149"/>
    <hyperlink r:id="rId289" ref="M149"/>
    <hyperlink r:id="rId290" ref="C150"/>
    <hyperlink r:id="rId291" ref="M150"/>
    <hyperlink r:id="rId292" ref="C151"/>
    <hyperlink r:id="rId293" ref="M151"/>
    <hyperlink r:id="rId294" ref="C152"/>
    <hyperlink r:id="rId295" ref="M152"/>
    <hyperlink r:id="rId296" ref="C153"/>
    <hyperlink r:id="rId297" ref="M153"/>
    <hyperlink r:id="rId298" ref="C154"/>
    <hyperlink r:id="rId299" ref="M154"/>
    <hyperlink r:id="rId300" ref="C155"/>
    <hyperlink r:id="rId301" ref="M155"/>
    <hyperlink r:id="rId302" ref="C156"/>
    <hyperlink r:id="rId303" ref="M156"/>
    <hyperlink r:id="rId304" ref="C158"/>
    <hyperlink r:id="rId305" ref="M158"/>
    <hyperlink r:id="rId306" ref="C159"/>
    <hyperlink r:id="rId307" ref="M159"/>
    <hyperlink r:id="rId308" ref="C160"/>
    <hyperlink r:id="rId309" ref="M160"/>
    <hyperlink r:id="rId310" ref="C161"/>
    <hyperlink r:id="rId311" ref="M161"/>
    <hyperlink r:id="rId312" ref="C162"/>
    <hyperlink r:id="rId313" ref="M162"/>
    <hyperlink r:id="rId314" ref="C163"/>
    <hyperlink r:id="rId315" ref="M163"/>
    <hyperlink r:id="rId316" ref="C164"/>
    <hyperlink r:id="rId317" ref="M164"/>
    <hyperlink r:id="rId318" ref="C165"/>
    <hyperlink r:id="rId319" ref="M165"/>
    <hyperlink r:id="rId320" ref="C166"/>
    <hyperlink r:id="rId321" ref="M166"/>
    <hyperlink r:id="rId322" ref="C167"/>
    <hyperlink r:id="rId323" ref="M167"/>
    <hyperlink r:id="rId324" ref="C168"/>
    <hyperlink r:id="rId325" ref="M168"/>
    <hyperlink r:id="rId326" ref="C169"/>
    <hyperlink r:id="rId327" ref="M169"/>
    <hyperlink r:id="rId328" ref="C170"/>
    <hyperlink r:id="rId329" ref="M170"/>
    <hyperlink r:id="rId330" ref="C171"/>
    <hyperlink r:id="rId331" ref="M171"/>
    <hyperlink r:id="rId332" ref="C172"/>
    <hyperlink r:id="rId333" ref="M172"/>
    <hyperlink r:id="rId334" ref="C173"/>
    <hyperlink r:id="rId335" ref="M173"/>
    <hyperlink r:id="rId336" ref="C174"/>
    <hyperlink r:id="rId337" ref="M174"/>
    <hyperlink r:id="rId338" ref="C175"/>
    <hyperlink r:id="rId339" ref="M175"/>
    <hyperlink r:id="rId340" ref="C176"/>
    <hyperlink r:id="rId341" ref="M176"/>
    <hyperlink r:id="rId342" ref="C177"/>
    <hyperlink r:id="rId343" ref="M177"/>
    <hyperlink r:id="rId344" ref="C178"/>
    <hyperlink r:id="rId345" ref="M178"/>
    <hyperlink r:id="rId346" ref="C179"/>
    <hyperlink r:id="rId347" ref="M179"/>
    <hyperlink r:id="rId348" ref="C180"/>
    <hyperlink r:id="rId349" ref="M180"/>
    <hyperlink r:id="rId350" ref="C181"/>
    <hyperlink r:id="rId351" ref="M181"/>
    <hyperlink r:id="rId352" ref="C182"/>
    <hyperlink r:id="rId353" ref="M182"/>
    <hyperlink r:id="rId354" ref="C183"/>
    <hyperlink r:id="rId355" ref="M183"/>
    <hyperlink r:id="rId356" ref="C184"/>
    <hyperlink r:id="rId357" ref="M184"/>
    <hyperlink r:id="rId358" ref="C185"/>
    <hyperlink r:id="rId359" ref="M185"/>
    <hyperlink r:id="rId360" ref="C186"/>
    <hyperlink r:id="rId361" ref="M186"/>
    <hyperlink r:id="rId362" ref="C187"/>
    <hyperlink r:id="rId363" ref="M187"/>
    <hyperlink r:id="rId364" ref="C188"/>
    <hyperlink r:id="rId365" ref="M188"/>
    <hyperlink r:id="rId366" ref="C189"/>
    <hyperlink r:id="rId367" ref="M189"/>
    <hyperlink r:id="rId368" ref="C190"/>
    <hyperlink r:id="rId369" ref="M190"/>
    <hyperlink r:id="rId370" ref="C191"/>
    <hyperlink r:id="rId371" ref="M191"/>
    <hyperlink r:id="rId372" ref="C192"/>
    <hyperlink r:id="rId373" ref="M192"/>
    <hyperlink r:id="rId374" ref="C193"/>
    <hyperlink r:id="rId375" ref="M193"/>
    <hyperlink r:id="rId376" ref="C194"/>
    <hyperlink r:id="rId377" ref="M194"/>
    <hyperlink r:id="rId378" ref="C195"/>
    <hyperlink r:id="rId379" ref="M195"/>
    <hyperlink r:id="rId380" ref="C196"/>
    <hyperlink r:id="rId381" ref="M196"/>
    <hyperlink r:id="rId382" ref="C197"/>
    <hyperlink r:id="rId383" ref="M197"/>
    <hyperlink r:id="rId384" ref="C198"/>
    <hyperlink r:id="rId385" ref="M198"/>
    <hyperlink r:id="rId386" ref="C199"/>
    <hyperlink r:id="rId387" ref="M199"/>
    <hyperlink r:id="rId388" ref="C200"/>
    <hyperlink r:id="rId389" ref="M200"/>
    <hyperlink r:id="rId390" ref="C201"/>
    <hyperlink r:id="rId391" ref="M201"/>
    <hyperlink r:id="rId392" ref="C202"/>
    <hyperlink r:id="rId393" ref="M202"/>
    <hyperlink r:id="rId394" ref="C203"/>
    <hyperlink r:id="rId395" ref="M203"/>
    <hyperlink r:id="rId396" ref="C204"/>
    <hyperlink r:id="rId397" ref="M204"/>
    <hyperlink r:id="rId398" ref="C205"/>
    <hyperlink r:id="rId399" ref="M205"/>
    <hyperlink r:id="rId400" ref="C206"/>
    <hyperlink r:id="rId401" ref="M206"/>
    <hyperlink r:id="rId402" ref="C207"/>
    <hyperlink r:id="rId403" ref="M207"/>
    <hyperlink r:id="rId404" ref="C208"/>
    <hyperlink r:id="rId405" ref="M208"/>
    <hyperlink r:id="rId406" ref="C209"/>
    <hyperlink r:id="rId407" ref="M209"/>
    <hyperlink r:id="rId408" ref="C210"/>
    <hyperlink r:id="rId409" ref="M210"/>
    <hyperlink r:id="rId410" ref="C211"/>
    <hyperlink r:id="rId411" ref="M211"/>
    <hyperlink r:id="rId412" ref="C212"/>
    <hyperlink r:id="rId413" ref="M212"/>
    <hyperlink r:id="rId414" ref="C213"/>
    <hyperlink r:id="rId415" ref="M213"/>
    <hyperlink r:id="rId416" ref="C214"/>
    <hyperlink r:id="rId417" ref="M214"/>
    <hyperlink r:id="rId418" ref="C215"/>
    <hyperlink r:id="rId419" ref="M215"/>
    <hyperlink r:id="rId420" ref="C216"/>
    <hyperlink r:id="rId421" ref="M216"/>
    <hyperlink r:id="rId422" ref="C217"/>
    <hyperlink r:id="rId423" ref="M217"/>
    <hyperlink r:id="rId424" ref="C218"/>
    <hyperlink r:id="rId425" ref="M218"/>
    <hyperlink r:id="rId426" ref="C219"/>
    <hyperlink r:id="rId427" ref="M219"/>
    <hyperlink r:id="rId428" ref="C220"/>
    <hyperlink r:id="rId429" ref="M220"/>
    <hyperlink r:id="rId430" ref="C221"/>
    <hyperlink r:id="rId431" ref="M221"/>
    <hyperlink r:id="rId432" ref="C222"/>
    <hyperlink r:id="rId433" ref="M222"/>
    <hyperlink r:id="rId434" ref="C223"/>
    <hyperlink r:id="rId435" ref="M223"/>
    <hyperlink r:id="rId436" ref="C224"/>
    <hyperlink r:id="rId437" ref="M224"/>
    <hyperlink r:id="rId438" ref="C225"/>
    <hyperlink r:id="rId439" ref="M225"/>
    <hyperlink r:id="rId440" ref="C226"/>
    <hyperlink r:id="rId441" ref="M226"/>
    <hyperlink r:id="rId442" ref="C227"/>
    <hyperlink r:id="rId443" ref="M227"/>
    <hyperlink r:id="rId444" ref="C228"/>
    <hyperlink r:id="rId445" ref="M228"/>
    <hyperlink r:id="rId446" ref="C229"/>
    <hyperlink r:id="rId447" ref="M229"/>
    <hyperlink r:id="rId448" ref="C230"/>
    <hyperlink r:id="rId449" ref="M230"/>
    <hyperlink r:id="rId450" ref="C231"/>
    <hyperlink r:id="rId451" ref="M231"/>
    <hyperlink r:id="rId452" ref="C232"/>
    <hyperlink r:id="rId453" ref="M232"/>
    <hyperlink r:id="rId454" ref="C233"/>
    <hyperlink r:id="rId455" ref="M233"/>
    <hyperlink r:id="rId456" ref="C234"/>
    <hyperlink r:id="rId457" ref="M234"/>
    <hyperlink r:id="rId458" ref="C236"/>
    <hyperlink r:id="rId459" ref="C237"/>
    <hyperlink r:id="rId460" ref="C238"/>
    <hyperlink r:id="rId461" ref="C239"/>
    <hyperlink r:id="rId462" ref="C240"/>
    <hyperlink r:id="rId463" ref="C241"/>
    <hyperlink r:id="rId464" ref="C242"/>
    <hyperlink r:id="rId465" ref="C243"/>
    <hyperlink r:id="rId466" ref="C244"/>
    <hyperlink r:id="rId467" ref="C245"/>
    <hyperlink r:id="rId468" ref="C246"/>
    <hyperlink r:id="rId469" ref="C247"/>
    <hyperlink r:id="rId470" ref="C248"/>
    <hyperlink r:id="rId471" ref="C249"/>
    <hyperlink r:id="rId472" ref="C250"/>
    <hyperlink r:id="rId473" ref="C251"/>
    <hyperlink r:id="rId474" ref="C252"/>
    <hyperlink r:id="rId475" ref="C253"/>
    <hyperlink r:id="rId476" ref="C254"/>
    <hyperlink r:id="rId477" ref="C255"/>
    <hyperlink r:id="rId478" ref="C256"/>
    <hyperlink r:id="rId479" ref="C257"/>
    <hyperlink r:id="rId480" ref="C258"/>
    <hyperlink r:id="rId481" ref="C259"/>
    <hyperlink r:id="rId482" ref="C260"/>
    <hyperlink r:id="rId483" ref="C261"/>
    <hyperlink r:id="rId484" ref="C262"/>
    <hyperlink r:id="rId485" ref="C263"/>
    <hyperlink r:id="rId486" ref="C264"/>
    <hyperlink r:id="rId487" ref="C265"/>
    <hyperlink r:id="rId488" ref="C266"/>
    <hyperlink r:id="rId489" ref="C267"/>
    <hyperlink r:id="rId490" ref="C268"/>
    <hyperlink r:id="rId491" ref="C269"/>
    <hyperlink r:id="rId492" ref="C270"/>
    <hyperlink r:id="rId493" ref="C271"/>
    <hyperlink r:id="rId494" ref="C272"/>
    <hyperlink r:id="rId495" ref="C273"/>
    <hyperlink r:id="rId496" ref="C274"/>
    <hyperlink r:id="rId497" ref="C275"/>
    <hyperlink r:id="rId498" ref="C276"/>
    <hyperlink r:id="rId499" ref="C277"/>
    <hyperlink r:id="rId500" ref="C278"/>
    <hyperlink r:id="rId501" ref="C279"/>
    <hyperlink r:id="rId502" ref="C280"/>
    <hyperlink r:id="rId503" ref="C281"/>
    <hyperlink r:id="rId504" ref="C282"/>
    <hyperlink r:id="rId505" ref="C283"/>
    <hyperlink r:id="rId506" ref="C284"/>
    <hyperlink r:id="rId507" ref="C285"/>
    <hyperlink r:id="rId508" ref="C286"/>
    <hyperlink r:id="rId509" ref="C287"/>
    <hyperlink r:id="rId510" ref="C288"/>
    <hyperlink r:id="rId511" ref="C289"/>
    <hyperlink r:id="rId512" ref="C290"/>
    <hyperlink r:id="rId513" ref="C291"/>
    <hyperlink r:id="rId514" ref="C292"/>
    <hyperlink r:id="rId515" ref="C293"/>
    <hyperlink r:id="rId516" ref="C294"/>
    <hyperlink r:id="rId517" ref="C295"/>
    <hyperlink r:id="rId518" ref="C296"/>
    <hyperlink r:id="rId519" ref="C297"/>
    <hyperlink r:id="rId520" ref="C298"/>
    <hyperlink r:id="rId521" ref="C299"/>
    <hyperlink r:id="rId522" ref="C300"/>
    <hyperlink r:id="rId523" ref="C301"/>
    <hyperlink r:id="rId524" ref="C302"/>
    <hyperlink r:id="rId525" ref="C303"/>
    <hyperlink r:id="rId526" ref="C304"/>
    <hyperlink r:id="rId527" ref="C305"/>
    <hyperlink r:id="rId528" ref="C306"/>
    <hyperlink r:id="rId529" ref="C307"/>
    <hyperlink r:id="rId530" ref="C308"/>
    <hyperlink r:id="rId531" ref="C309"/>
    <hyperlink r:id="rId532" ref="C310"/>
    <hyperlink r:id="rId533" ref="C311"/>
    <hyperlink r:id="rId534" ref="C312"/>
    <hyperlink r:id="rId535" ref="C313"/>
    <hyperlink r:id="rId536" ref="M313"/>
    <hyperlink r:id="rId537" ref="C314"/>
    <hyperlink r:id="rId538" ref="M314"/>
    <hyperlink r:id="rId539" ref="C315"/>
    <hyperlink r:id="rId540" ref="M315"/>
    <hyperlink r:id="rId541" ref="C316"/>
    <hyperlink r:id="rId542" ref="C317"/>
    <hyperlink r:id="rId543" ref="C318"/>
    <hyperlink r:id="rId544" ref="C319"/>
    <hyperlink r:id="rId545" location="google_vignette" ref="C320"/>
    <hyperlink r:id="rId546" ref="C321"/>
    <hyperlink r:id="rId547" location="google_vignette" ref="C322"/>
    <hyperlink r:id="rId548" ref="C323"/>
    <hyperlink r:id="rId549" ref="C324"/>
  </hyperlinks>
  <drawing r:id="rId550"/>
  <legacyDrawing r:id="rId5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8.63"/>
    <col customWidth="1" min="3" max="3" width="40.88"/>
    <col customWidth="1" min="4" max="6" width="17.5"/>
    <col customWidth="1" min="8" max="8" width="18.0"/>
    <col customWidth="1" min="9" max="9" width="16.13"/>
    <col customWidth="1" min="12" max="12" width="16.5"/>
    <col customWidth="1" min="13" max="13" width="48.13"/>
  </cols>
  <sheetData>
    <row r="1">
      <c r="A1" s="3" t="s">
        <v>1</v>
      </c>
      <c r="B1" s="4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17</v>
      </c>
    </row>
    <row r="2">
      <c r="A2" s="6"/>
      <c r="B2" s="7"/>
      <c r="C2" s="6"/>
      <c r="D2" s="2" t="s">
        <v>19</v>
      </c>
      <c r="E2" s="2" t="s">
        <v>20</v>
      </c>
      <c r="F2" s="2"/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</row>
    <row r="3">
      <c r="A3" s="6"/>
      <c r="B3" s="7"/>
      <c r="C3" s="6"/>
      <c r="D3" s="2" t="s">
        <v>28</v>
      </c>
      <c r="E3" s="2" t="s">
        <v>29</v>
      </c>
      <c r="F3" s="2"/>
      <c r="G3" s="2" t="s">
        <v>30</v>
      </c>
      <c r="H3" s="6"/>
      <c r="I3" s="6"/>
      <c r="J3" s="6"/>
      <c r="K3" s="6"/>
      <c r="L3" s="6"/>
      <c r="M3" s="6"/>
    </row>
    <row r="4">
      <c r="A4" s="6"/>
      <c r="B4" s="7"/>
      <c r="C4" s="6"/>
      <c r="D4" s="2" t="s">
        <v>31</v>
      </c>
      <c r="E4" s="2" t="s">
        <v>32</v>
      </c>
      <c r="F4" s="2"/>
      <c r="G4" s="2" t="s">
        <v>33</v>
      </c>
      <c r="H4" s="6"/>
      <c r="I4" s="6"/>
      <c r="J4" s="6"/>
      <c r="K4" s="6"/>
      <c r="L4" s="6"/>
      <c r="M4" s="6"/>
    </row>
    <row r="5">
      <c r="A5" s="6"/>
      <c r="B5" s="7"/>
      <c r="C5" s="6"/>
      <c r="D5" s="2" t="s">
        <v>34</v>
      </c>
      <c r="E5" s="6"/>
      <c r="F5" s="6"/>
      <c r="G5" s="2" t="s">
        <v>35</v>
      </c>
      <c r="H5" s="6"/>
      <c r="I5" s="6"/>
      <c r="J5" s="6"/>
      <c r="K5" s="6"/>
      <c r="L5" s="6"/>
      <c r="M5" s="6"/>
    </row>
    <row r="6">
      <c r="A6" s="10" t="s">
        <v>36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>
      <c r="A7" s="6"/>
      <c r="B7" s="13" t="s">
        <v>37</v>
      </c>
      <c r="C7" s="8" t="s">
        <v>38</v>
      </c>
      <c r="D7" s="2" t="s">
        <v>28</v>
      </c>
      <c r="E7" s="2" t="s">
        <v>0</v>
      </c>
      <c r="F7" s="2" t="s">
        <v>39</v>
      </c>
      <c r="G7" s="2" t="s">
        <v>21</v>
      </c>
      <c r="H7" s="2" t="s">
        <v>42</v>
      </c>
      <c r="I7" s="2" t="s">
        <v>43</v>
      </c>
      <c r="J7" s="2" t="s">
        <v>45</v>
      </c>
      <c r="K7" s="2" t="s">
        <v>46</v>
      </c>
      <c r="L7" s="2" t="s">
        <v>54</v>
      </c>
      <c r="M7" s="8" t="s">
        <v>55</v>
      </c>
    </row>
    <row r="8">
      <c r="A8" s="6"/>
      <c r="B8" s="13" t="s">
        <v>3</v>
      </c>
      <c r="C8" s="8" t="s">
        <v>4</v>
      </c>
      <c r="D8" s="2" t="s">
        <v>28</v>
      </c>
      <c r="E8" s="2" t="s">
        <v>0</v>
      </c>
      <c r="F8" s="2" t="s">
        <v>39</v>
      </c>
      <c r="G8" s="2" t="s">
        <v>21</v>
      </c>
      <c r="H8" s="2" t="s">
        <v>42</v>
      </c>
      <c r="I8" s="2" t="s">
        <v>43</v>
      </c>
      <c r="J8" s="2" t="s">
        <v>45</v>
      </c>
      <c r="K8" s="2" t="s">
        <v>46</v>
      </c>
      <c r="L8" s="2" t="s">
        <v>54</v>
      </c>
      <c r="M8" s="8" t="s">
        <v>48</v>
      </c>
    </row>
    <row r="9">
      <c r="A9" s="6"/>
      <c r="B9" s="13" t="s">
        <v>60</v>
      </c>
      <c r="C9" s="19" t="s">
        <v>61</v>
      </c>
      <c r="D9" s="2" t="s">
        <v>31</v>
      </c>
      <c r="E9" s="2" t="s">
        <v>66</v>
      </c>
      <c r="F9" s="2" t="s">
        <v>39</v>
      </c>
      <c r="G9" s="2" t="s">
        <v>21</v>
      </c>
      <c r="H9" s="2" t="s">
        <v>42</v>
      </c>
      <c r="I9" s="2" t="s">
        <v>43</v>
      </c>
      <c r="J9" s="2" t="s">
        <v>45</v>
      </c>
      <c r="K9" s="2" t="s">
        <v>46</v>
      </c>
      <c r="L9" s="2"/>
      <c r="M9" s="8" t="s">
        <v>68</v>
      </c>
    </row>
    <row r="10">
      <c r="A10" s="6"/>
      <c r="B10" s="13" t="s">
        <v>71</v>
      </c>
      <c r="C10" s="19" t="s">
        <v>73</v>
      </c>
      <c r="D10" s="2" t="s">
        <v>31</v>
      </c>
      <c r="E10" s="2" t="s">
        <v>75</v>
      </c>
      <c r="F10" s="2" t="s">
        <v>39</v>
      </c>
      <c r="G10" s="2" t="s">
        <v>21</v>
      </c>
      <c r="H10" s="2" t="s">
        <v>42</v>
      </c>
      <c r="I10" s="2" t="s">
        <v>43</v>
      </c>
      <c r="J10" s="2" t="s">
        <v>45</v>
      </c>
      <c r="K10" s="2" t="s">
        <v>46</v>
      </c>
      <c r="L10" s="2"/>
      <c r="M10" s="8" t="s">
        <v>76</v>
      </c>
    </row>
    <row r="11">
      <c r="A11" s="6"/>
      <c r="B11" s="13" t="s">
        <v>81</v>
      </c>
      <c r="C11" s="19" t="s">
        <v>82</v>
      </c>
      <c r="D11" s="2" t="s">
        <v>31</v>
      </c>
      <c r="E11" s="6" t="s">
        <v>84</v>
      </c>
      <c r="F11" s="2" t="s">
        <v>39</v>
      </c>
      <c r="G11" s="2" t="s">
        <v>21</v>
      </c>
      <c r="H11" s="2" t="s">
        <v>42</v>
      </c>
      <c r="I11" s="2" t="s">
        <v>43</v>
      </c>
      <c r="J11" s="2" t="s">
        <v>45</v>
      </c>
      <c r="K11" s="2" t="s">
        <v>46</v>
      </c>
      <c r="L11" s="2"/>
      <c r="M11" s="8" t="s">
        <v>85</v>
      </c>
    </row>
    <row r="12">
      <c r="A12" s="6"/>
      <c r="B12" s="13" t="s">
        <v>89</v>
      </c>
      <c r="C12" s="8" t="s">
        <v>90</v>
      </c>
      <c r="D12" s="2" t="s">
        <v>31</v>
      </c>
      <c r="E12" s="6" t="s">
        <v>92</v>
      </c>
      <c r="F12" s="2" t="s">
        <v>39</v>
      </c>
      <c r="G12" s="2" t="s">
        <v>21</v>
      </c>
      <c r="H12" s="2" t="s">
        <v>42</v>
      </c>
      <c r="I12" s="2" t="s">
        <v>43</v>
      </c>
      <c r="J12" s="2" t="s">
        <v>45</v>
      </c>
      <c r="K12" s="2" t="s">
        <v>46</v>
      </c>
      <c r="L12" s="2"/>
      <c r="M12" s="8" t="s">
        <v>94</v>
      </c>
    </row>
    <row r="13">
      <c r="A13" s="6"/>
      <c r="B13" s="13" t="s">
        <v>99</v>
      </c>
      <c r="C13" s="19" t="s">
        <v>100</v>
      </c>
      <c r="D13" s="2" t="s">
        <v>31</v>
      </c>
      <c r="E13" s="6" t="s">
        <v>104</v>
      </c>
      <c r="F13" s="2" t="s">
        <v>39</v>
      </c>
      <c r="G13" s="2" t="s">
        <v>21</v>
      </c>
      <c r="H13" s="2" t="s">
        <v>42</v>
      </c>
      <c r="I13" s="2" t="s">
        <v>43</v>
      </c>
      <c r="J13" s="2" t="s">
        <v>45</v>
      </c>
      <c r="K13" s="2" t="s">
        <v>46</v>
      </c>
      <c r="L13" s="2"/>
      <c r="M13" s="8" t="s">
        <v>106</v>
      </c>
    </row>
    <row r="14">
      <c r="A14" s="6"/>
      <c r="B14" s="13" t="s">
        <v>110</v>
      </c>
      <c r="C14" s="19" t="s">
        <v>111</v>
      </c>
      <c r="D14" s="2" t="s">
        <v>31</v>
      </c>
      <c r="E14" s="6" t="s">
        <v>113</v>
      </c>
      <c r="F14" s="2" t="s">
        <v>39</v>
      </c>
      <c r="G14" s="2" t="s">
        <v>21</v>
      </c>
      <c r="H14" s="2" t="s">
        <v>42</v>
      </c>
      <c r="I14" s="2" t="s">
        <v>43</v>
      </c>
      <c r="J14" s="2" t="s">
        <v>45</v>
      </c>
      <c r="K14" s="2" t="s">
        <v>46</v>
      </c>
      <c r="L14" s="2"/>
      <c r="M14" s="8" t="s">
        <v>114</v>
      </c>
    </row>
    <row r="15">
      <c r="A15" s="6"/>
      <c r="B15" s="13" t="s">
        <v>116</v>
      </c>
      <c r="C15" s="19" t="s">
        <v>118</v>
      </c>
      <c r="D15" s="2" t="s">
        <v>31</v>
      </c>
      <c r="E15" s="6" t="s">
        <v>78</v>
      </c>
      <c r="F15" s="2" t="s">
        <v>39</v>
      </c>
      <c r="G15" s="2" t="s">
        <v>21</v>
      </c>
      <c r="H15" s="2" t="s">
        <v>42</v>
      </c>
      <c r="I15" s="2" t="s">
        <v>43</v>
      </c>
      <c r="J15" s="2" t="s">
        <v>45</v>
      </c>
      <c r="K15" s="2" t="s">
        <v>46</v>
      </c>
      <c r="L15" s="2"/>
      <c r="M15" s="8" t="s">
        <v>122</v>
      </c>
    </row>
    <row r="16">
      <c r="A16" s="6"/>
      <c r="B16" s="13" t="s">
        <v>128</v>
      </c>
      <c r="C16" s="19" t="s">
        <v>129</v>
      </c>
      <c r="D16" s="2" t="s">
        <v>31</v>
      </c>
      <c r="E16" s="6" t="s">
        <v>49</v>
      </c>
      <c r="F16" s="2" t="s">
        <v>39</v>
      </c>
      <c r="G16" s="2" t="s">
        <v>21</v>
      </c>
      <c r="H16" s="2" t="s">
        <v>42</v>
      </c>
      <c r="I16" s="2" t="s">
        <v>43</v>
      </c>
      <c r="J16" s="2" t="s">
        <v>45</v>
      </c>
      <c r="K16" s="2" t="s">
        <v>46</v>
      </c>
      <c r="L16" s="2"/>
      <c r="M16" s="8" t="s">
        <v>134</v>
      </c>
    </row>
    <row r="17">
      <c r="A17" s="6"/>
      <c r="B17" s="13" t="s">
        <v>139</v>
      </c>
      <c r="C17" s="19" t="s">
        <v>140</v>
      </c>
      <c r="D17" s="2" t="s">
        <v>31</v>
      </c>
      <c r="E17" s="6" t="s">
        <v>142</v>
      </c>
      <c r="F17" s="2" t="s">
        <v>39</v>
      </c>
      <c r="G17" s="2" t="s">
        <v>21</v>
      </c>
      <c r="H17" s="2" t="s">
        <v>42</v>
      </c>
      <c r="I17" s="2" t="s">
        <v>43</v>
      </c>
      <c r="J17" s="2" t="s">
        <v>45</v>
      </c>
      <c r="K17" s="2" t="s">
        <v>46</v>
      </c>
      <c r="L17" s="2"/>
      <c r="M17" s="8" t="s">
        <v>145</v>
      </c>
    </row>
    <row r="18">
      <c r="A18" s="6"/>
      <c r="B18" s="13" t="s">
        <v>149</v>
      </c>
      <c r="C18" s="19" t="s">
        <v>151</v>
      </c>
      <c r="D18" s="2" t="s">
        <v>31</v>
      </c>
      <c r="E18" s="6" t="s">
        <v>95</v>
      </c>
      <c r="F18" s="2" t="s">
        <v>39</v>
      </c>
      <c r="G18" s="2" t="s">
        <v>21</v>
      </c>
      <c r="H18" s="2" t="s">
        <v>42</v>
      </c>
      <c r="I18" s="2" t="s">
        <v>43</v>
      </c>
      <c r="J18" s="2" t="s">
        <v>45</v>
      </c>
      <c r="K18" s="2" t="s">
        <v>46</v>
      </c>
      <c r="L18" s="2"/>
      <c r="M18" s="8" t="s">
        <v>154</v>
      </c>
    </row>
    <row r="19">
      <c r="A19" s="6"/>
      <c r="B19" s="13" t="s">
        <v>157</v>
      </c>
      <c r="C19" s="19" t="s">
        <v>159</v>
      </c>
      <c r="D19" s="2" t="s">
        <v>31</v>
      </c>
      <c r="E19" s="6" t="s">
        <v>161</v>
      </c>
      <c r="F19" s="2" t="s">
        <v>39</v>
      </c>
      <c r="G19" s="2" t="s">
        <v>21</v>
      </c>
      <c r="H19" s="2" t="s">
        <v>42</v>
      </c>
      <c r="I19" s="2" t="s">
        <v>43</v>
      </c>
      <c r="J19" s="2" t="s">
        <v>45</v>
      </c>
      <c r="K19" s="2" t="s">
        <v>46</v>
      </c>
      <c r="L19" s="2"/>
      <c r="M19" s="8" t="s">
        <v>163</v>
      </c>
    </row>
    <row r="20">
      <c r="A20" s="6"/>
      <c r="B20" s="13" t="s">
        <v>167</v>
      </c>
      <c r="C20" s="19" t="s">
        <v>168</v>
      </c>
      <c r="D20" s="2" t="s">
        <v>31</v>
      </c>
      <c r="E20" s="6" t="s">
        <v>86</v>
      </c>
      <c r="F20" s="2" t="s">
        <v>39</v>
      </c>
      <c r="G20" s="2" t="s">
        <v>21</v>
      </c>
      <c r="H20" s="2" t="s">
        <v>42</v>
      </c>
      <c r="I20" s="2" t="s">
        <v>43</v>
      </c>
      <c r="J20" s="2" t="s">
        <v>45</v>
      </c>
      <c r="K20" s="2" t="s">
        <v>46</v>
      </c>
      <c r="L20" s="2"/>
      <c r="M20" s="8" t="s">
        <v>173</v>
      </c>
    </row>
    <row r="21">
      <c r="A21" s="6"/>
      <c r="B21" s="13" t="s">
        <v>175</v>
      </c>
      <c r="C21" s="19" t="s">
        <v>177</v>
      </c>
      <c r="D21" s="2" t="s">
        <v>31</v>
      </c>
      <c r="E21" s="6" t="s">
        <v>181</v>
      </c>
      <c r="F21" s="2" t="s">
        <v>39</v>
      </c>
      <c r="G21" s="2" t="s">
        <v>21</v>
      </c>
      <c r="H21" s="2" t="s">
        <v>42</v>
      </c>
      <c r="I21" s="2" t="s">
        <v>43</v>
      </c>
      <c r="J21" s="2" t="s">
        <v>45</v>
      </c>
      <c r="K21" s="2" t="s">
        <v>46</v>
      </c>
      <c r="L21" s="2"/>
      <c r="M21" s="8" t="s">
        <v>183</v>
      </c>
    </row>
    <row r="22">
      <c r="A22" s="6"/>
      <c r="B22" s="13" t="s">
        <v>186</v>
      </c>
      <c r="C22" s="19" t="s">
        <v>188</v>
      </c>
      <c r="D22" s="2" t="s">
        <v>31</v>
      </c>
      <c r="E22" s="6" t="s">
        <v>190</v>
      </c>
      <c r="F22" s="2" t="s">
        <v>39</v>
      </c>
      <c r="G22" s="2" t="s">
        <v>21</v>
      </c>
      <c r="H22" s="2" t="s">
        <v>42</v>
      </c>
      <c r="I22" s="2" t="s">
        <v>43</v>
      </c>
      <c r="J22" s="2" t="s">
        <v>45</v>
      </c>
      <c r="K22" s="2" t="s">
        <v>46</v>
      </c>
      <c r="L22" s="2"/>
      <c r="M22" s="8" t="s">
        <v>192</v>
      </c>
    </row>
    <row r="23">
      <c r="A23" s="6"/>
      <c r="B23" s="13" t="s">
        <v>196</v>
      </c>
      <c r="C23" s="19" t="s">
        <v>197</v>
      </c>
      <c r="D23" s="2" t="s">
        <v>31</v>
      </c>
      <c r="E23" s="6" t="s">
        <v>199</v>
      </c>
      <c r="F23" s="2" t="s">
        <v>39</v>
      </c>
      <c r="G23" s="2" t="s">
        <v>21</v>
      </c>
      <c r="H23" s="2" t="s">
        <v>42</v>
      </c>
      <c r="I23" s="2" t="s">
        <v>43</v>
      </c>
      <c r="J23" s="2" t="s">
        <v>45</v>
      </c>
      <c r="K23" s="2" t="s">
        <v>46</v>
      </c>
      <c r="L23" s="2"/>
      <c r="M23" s="8" t="s">
        <v>203</v>
      </c>
    </row>
    <row r="24">
      <c r="A24" s="6"/>
      <c r="B24" s="13" t="s">
        <v>205</v>
      </c>
      <c r="C24" s="19" t="s">
        <v>206</v>
      </c>
      <c r="D24" s="2" t="s">
        <v>31</v>
      </c>
      <c r="E24" s="6" t="s">
        <v>210</v>
      </c>
      <c r="F24" s="2" t="s">
        <v>39</v>
      </c>
      <c r="G24" s="2" t="s">
        <v>21</v>
      </c>
      <c r="H24" s="2" t="s">
        <v>42</v>
      </c>
      <c r="I24" s="2" t="s">
        <v>43</v>
      </c>
      <c r="J24" s="2" t="s">
        <v>45</v>
      </c>
      <c r="K24" s="2" t="s">
        <v>46</v>
      </c>
      <c r="L24" s="2"/>
      <c r="M24" s="8" t="s">
        <v>212</v>
      </c>
    </row>
    <row r="25">
      <c r="A25" s="6"/>
      <c r="B25" s="13" t="s">
        <v>215</v>
      </c>
      <c r="C25" s="19" t="s">
        <v>216</v>
      </c>
      <c r="D25" s="2" t="s">
        <v>31</v>
      </c>
      <c r="E25" s="6" t="s">
        <v>117</v>
      </c>
      <c r="F25" s="2" t="s">
        <v>39</v>
      </c>
      <c r="G25" s="2" t="s">
        <v>21</v>
      </c>
      <c r="H25" s="2" t="s">
        <v>42</v>
      </c>
      <c r="I25" s="2" t="s">
        <v>43</v>
      </c>
      <c r="J25" s="2" t="s">
        <v>45</v>
      </c>
      <c r="K25" s="2" t="s">
        <v>46</v>
      </c>
      <c r="L25" s="2"/>
      <c r="M25" s="8" t="s">
        <v>221</v>
      </c>
    </row>
    <row r="26">
      <c r="A26" s="6"/>
      <c r="B26" s="13" t="s">
        <v>225</v>
      </c>
      <c r="C26" s="19" t="s">
        <v>226</v>
      </c>
      <c r="D26" s="2" t="s">
        <v>31</v>
      </c>
      <c r="E26" s="6" t="s">
        <v>231</v>
      </c>
      <c r="F26" s="2" t="s">
        <v>39</v>
      </c>
      <c r="G26" s="2" t="s">
        <v>21</v>
      </c>
      <c r="H26" s="2" t="s">
        <v>42</v>
      </c>
      <c r="I26" s="2" t="s">
        <v>43</v>
      </c>
      <c r="J26" s="2" t="s">
        <v>45</v>
      </c>
      <c r="K26" s="2" t="s">
        <v>46</v>
      </c>
      <c r="L26" s="2"/>
      <c r="M26" s="8" t="s">
        <v>232</v>
      </c>
    </row>
    <row r="27">
      <c r="A27" s="6"/>
      <c r="B27" s="13" t="s">
        <v>236</v>
      </c>
      <c r="C27" s="19" t="s">
        <v>237</v>
      </c>
      <c r="D27" s="2" t="s">
        <v>31</v>
      </c>
      <c r="E27" s="6" t="s">
        <v>238</v>
      </c>
      <c r="F27" s="2" t="s">
        <v>39</v>
      </c>
      <c r="G27" s="2" t="s">
        <v>21</v>
      </c>
      <c r="H27" s="2" t="s">
        <v>42</v>
      </c>
      <c r="I27" s="2" t="s">
        <v>43</v>
      </c>
      <c r="J27" s="2" t="s">
        <v>45</v>
      </c>
      <c r="K27" s="2" t="s">
        <v>46</v>
      </c>
      <c r="L27" s="2"/>
      <c r="M27" s="8" t="s">
        <v>241</v>
      </c>
    </row>
    <row r="28">
      <c r="A28" s="6"/>
      <c r="B28" s="13" t="s">
        <v>244</v>
      </c>
      <c r="C28" s="19" t="s">
        <v>245</v>
      </c>
      <c r="D28" s="2" t="s">
        <v>31</v>
      </c>
      <c r="E28" s="6" t="s">
        <v>248</v>
      </c>
      <c r="F28" s="2" t="s">
        <v>39</v>
      </c>
      <c r="G28" s="2" t="s">
        <v>21</v>
      </c>
      <c r="H28" s="2" t="s">
        <v>42</v>
      </c>
      <c r="I28" s="2" t="s">
        <v>43</v>
      </c>
      <c r="J28" s="2" t="s">
        <v>45</v>
      </c>
      <c r="K28" s="2" t="s">
        <v>46</v>
      </c>
      <c r="L28" s="2"/>
      <c r="M28" s="8" t="s">
        <v>249</v>
      </c>
    </row>
    <row r="29">
      <c r="A29" s="6"/>
      <c r="B29" s="13" t="s">
        <v>254</v>
      </c>
      <c r="C29" s="19" t="s">
        <v>255</v>
      </c>
      <c r="D29" s="2" t="s">
        <v>31</v>
      </c>
      <c r="E29" s="6" t="s">
        <v>258</v>
      </c>
      <c r="F29" s="2" t="s">
        <v>39</v>
      </c>
      <c r="G29" s="2" t="s">
        <v>21</v>
      </c>
      <c r="H29" s="2" t="s">
        <v>42</v>
      </c>
      <c r="I29" s="2" t="s">
        <v>43</v>
      </c>
      <c r="J29" s="2" t="s">
        <v>45</v>
      </c>
      <c r="K29" s="2" t="s">
        <v>46</v>
      </c>
      <c r="L29" s="2"/>
      <c r="M29" s="8" t="s">
        <v>259</v>
      </c>
    </row>
    <row r="30">
      <c r="A30" s="6"/>
      <c r="B30" s="13" t="s">
        <v>263</v>
      </c>
      <c r="C30" s="19" t="s">
        <v>264</v>
      </c>
      <c r="D30" s="2" t="s">
        <v>31</v>
      </c>
      <c r="E30" s="6" t="s">
        <v>218</v>
      </c>
      <c r="F30" s="2" t="s">
        <v>39</v>
      </c>
      <c r="G30" s="2" t="s">
        <v>21</v>
      </c>
      <c r="H30" s="2" t="s">
        <v>42</v>
      </c>
      <c r="I30" s="2" t="s">
        <v>43</v>
      </c>
      <c r="J30" s="2" t="s">
        <v>45</v>
      </c>
      <c r="K30" s="2" t="s">
        <v>46</v>
      </c>
      <c r="L30" s="2"/>
      <c r="M30" s="8" t="s">
        <v>268</v>
      </c>
    </row>
    <row r="31">
      <c r="A31" s="6"/>
      <c r="B31" s="13" t="s">
        <v>273</v>
      </c>
      <c r="C31" s="19" t="s">
        <v>274</v>
      </c>
      <c r="D31" s="2" t="s">
        <v>31</v>
      </c>
      <c r="E31" s="6" t="s">
        <v>278</v>
      </c>
      <c r="F31" s="2" t="s">
        <v>39</v>
      </c>
      <c r="G31" s="2" t="s">
        <v>21</v>
      </c>
      <c r="H31" s="2" t="s">
        <v>42</v>
      </c>
      <c r="I31" s="2" t="s">
        <v>43</v>
      </c>
      <c r="J31" s="2" t="s">
        <v>45</v>
      </c>
      <c r="K31" s="2" t="s">
        <v>46</v>
      </c>
      <c r="L31" s="2"/>
      <c r="M31" s="8" t="s">
        <v>282</v>
      </c>
    </row>
    <row r="32">
      <c r="A32" s="6"/>
      <c r="B32" s="13" t="s">
        <v>286</v>
      </c>
      <c r="C32" s="19" t="s">
        <v>287</v>
      </c>
      <c r="D32" s="2" t="s">
        <v>31</v>
      </c>
      <c r="E32" s="6" t="s">
        <v>291</v>
      </c>
      <c r="F32" s="2" t="s">
        <v>39</v>
      </c>
      <c r="G32" s="2" t="s">
        <v>21</v>
      </c>
      <c r="H32" s="2" t="s">
        <v>42</v>
      </c>
      <c r="I32" s="2" t="s">
        <v>43</v>
      </c>
      <c r="J32" s="2" t="s">
        <v>45</v>
      </c>
      <c r="K32" s="2" t="s">
        <v>46</v>
      </c>
      <c r="L32" s="2"/>
      <c r="M32" s="8" t="s">
        <v>293</v>
      </c>
    </row>
    <row r="33">
      <c r="A33" s="6"/>
      <c r="B33" s="13" t="s">
        <v>298</v>
      </c>
      <c r="C33" s="19" t="s">
        <v>299</v>
      </c>
      <c r="D33" s="2" t="s">
        <v>31</v>
      </c>
      <c r="E33" s="6" t="s">
        <v>301</v>
      </c>
      <c r="F33" s="2" t="s">
        <v>39</v>
      </c>
      <c r="G33" s="2" t="s">
        <v>21</v>
      </c>
      <c r="H33" s="2" t="s">
        <v>42</v>
      </c>
      <c r="I33" s="2" t="s">
        <v>43</v>
      </c>
      <c r="J33" s="2" t="s">
        <v>45</v>
      </c>
      <c r="K33" s="2" t="s">
        <v>46</v>
      </c>
      <c r="L33" s="2"/>
      <c r="M33" s="8" t="s">
        <v>304</v>
      </c>
    </row>
    <row r="34">
      <c r="A34" s="6"/>
      <c r="B34" s="13" t="s">
        <v>306</v>
      </c>
      <c r="C34" s="19" t="s">
        <v>307</v>
      </c>
      <c r="D34" s="2" t="s">
        <v>31</v>
      </c>
      <c r="E34" s="6" t="s">
        <v>283</v>
      </c>
      <c r="F34" s="2" t="s">
        <v>39</v>
      </c>
      <c r="G34" s="2" t="s">
        <v>21</v>
      </c>
      <c r="H34" s="2" t="s">
        <v>42</v>
      </c>
      <c r="I34" s="2" t="s">
        <v>43</v>
      </c>
      <c r="J34" s="2" t="s">
        <v>45</v>
      </c>
      <c r="K34" s="2" t="s">
        <v>46</v>
      </c>
      <c r="L34" s="2"/>
      <c r="M34" s="8" t="s">
        <v>310</v>
      </c>
    </row>
    <row r="35">
      <c r="A35" s="6"/>
      <c r="B35" s="13" t="s">
        <v>314</v>
      </c>
      <c r="C35" s="19" t="s">
        <v>315</v>
      </c>
      <c r="D35" s="2" t="s">
        <v>31</v>
      </c>
      <c r="E35" s="6" t="s">
        <v>178</v>
      </c>
      <c r="F35" s="2" t="s">
        <v>39</v>
      </c>
      <c r="G35" s="2" t="s">
        <v>21</v>
      </c>
      <c r="H35" s="2" t="s">
        <v>42</v>
      </c>
      <c r="I35" s="2" t="s">
        <v>43</v>
      </c>
      <c r="J35" s="2" t="s">
        <v>45</v>
      </c>
      <c r="K35" s="2" t="s">
        <v>46</v>
      </c>
      <c r="L35" s="2"/>
      <c r="M35" s="8" t="s">
        <v>317</v>
      </c>
    </row>
    <row r="36">
      <c r="A36" s="6"/>
      <c r="B36" s="13" t="s">
        <v>320</v>
      </c>
      <c r="C36" s="19" t="s">
        <v>321</v>
      </c>
      <c r="D36" s="2" t="s">
        <v>31</v>
      </c>
      <c r="E36" s="6" t="s">
        <v>136</v>
      </c>
      <c r="F36" s="2" t="s">
        <v>39</v>
      </c>
      <c r="G36" s="2" t="s">
        <v>21</v>
      </c>
      <c r="H36" s="2" t="s">
        <v>42</v>
      </c>
      <c r="I36" s="2" t="s">
        <v>43</v>
      </c>
      <c r="J36" s="2" t="s">
        <v>45</v>
      </c>
      <c r="K36" s="2" t="s">
        <v>46</v>
      </c>
      <c r="L36" s="2"/>
      <c r="M36" s="8" t="s">
        <v>325</v>
      </c>
    </row>
    <row r="37">
      <c r="A37" s="6"/>
      <c r="B37" s="13" t="s">
        <v>327</v>
      </c>
      <c r="C37" s="19" t="s">
        <v>328</v>
      </c>
      <c r="D37" s="2" t="s">
        <v>31</v>
      </c>
      <c r="E37" s="6" t="s">
        <v>331</v>
      </c>
      <c r="F37" s="2" t="s">
        <v>39</v>
      </c>
      <c r="G37" s="2" t="s">
        <v>21</v>
      </c>
      <c r="H37" s="2" t="s">
        <v>42</v>
      </c>
      <c r="I37" s="2" t="s">
        <v>43</v>
      </c>
      <c r="J37" s="2" t="s">
        <v>45</v>
      </c>
      <c r="K37" s="2" t="s">
        <v>46</v>
      </c>
      <c r="L37" s="2"/>
      <c r="M37" s="8" t="s">
        <v>333</v>
      </c>
    </row>
    <row r="38">
      <c r="A38" s="6"/>
      <c r="B38" s="13" t="s">
        <v>336</v>
      </c>
      <c r="C38" s="19" t="s">
        <v>337</v>
      </c>
      <c r="D38" s="2" t="s">
        <v>31</v>
      </c>
      <c r="E38" s="6" t="s">
        <v>130</v>
      </c>
      <c r="F38" s="2" t="s">
        <v>39</v>
      </c>
      <c r="G38" s="2" t="s">
        <v>21</v>
      </c>
      <c r="H38" s="2" t="s">
        <v>42</v>
      </c>
      <c r="I38" s="2" t="s">
        <v>43</v>
      </c>
      <c r="J38" s="2" t="s">
        <v>45</v>
      </c>
      <c r="K38" s="2" t="s">
        <v>46</v>
      </c>
      <c r="L38" s="2"/>
      <c r="M38" s="8" t="s">
        <v>344</v>
      </c>
    </row>
    <row r="39">
      <c r="A39" s="6"/>
      <c r="B39" s="13" t="s">
        <v>346</v>
      </c>
      <c r="C39" s="19" t="s">
        <v>347</v>
      </c>
      <c r="D39" s="2" t="s">
        <v>31</v>
      </c>
      <c r="E39" s="6" t="s">
        <v>322</v>
      </c>
      <c r="F39" s="2" t="s">
        <v>39</v>
      </c>
      <c r="G39" s="2" t="s">
        <v>21</v>
      </c>
      <c r="H39" s="2" t="s">
        <v>42</v>
      </c>
      <c r="I39" s="2" t="s">
        <v>43</v>
      </c>
      <c r="J39" s="2" t="s">
        <v>45</v>
      </c>
      <c r="K39" s="2" t="s">
        <v>46</v>
      </c>
      <c r="L39" s="2"/>
      <c r="M39" s="8" t="s">
        <v>350</v>
      </c>
    </row>
    <row r="40">
      <c r="A40" s="6"/>
      <c r="B40" s="13" t="s">
        <v>354</v>
      </c>
      <c r="C40" s="19" t="s">
        <v>355</v>
      </c>
      <c r="D40" s="2" t="s">
        <v>31</v>
      </c>
      <c r="E40" s="6" t="s">
        <v>56</v>
      </c>
      <c r="F40" s="2" t="s">
        <v>39</v>
      </c>
      <c r="G40" s="2" t="s">
        <v>21</v>
      </c>
      <c r="H40" s="2" t="s">
        <v>42</v>
      </c>
      <c r="I40" s="2" t="s">
        <v>43</v>
      </c>
      <c r="J40" s="2" t="s">
        <v>45</v>
      </c>
      <c r="K40" s="2" t="s">
        <v>46</v>
      </c>
      <c r="L40" s="2"/>
      <c r="M40" s="8" t="s">
        <v>360</v>
      </c>
    </row>
    <row r="41">
      <c r="A41" s="6"/>
      <c r="B41" s="13" t="s">
        <v>361</v>
      </c>
      <c r="C41" s="19" t="s">
        <v>363</v>
      </c>
      <c r="D41" s="2" t="s">
        <v>31</v>
      </c>
      <c r="E41" s="6" t="s">
        <v>170</v>
      </c>
      <c r="F41" s="2" t="s">
        <v>39</v>
      </c>
      <c r="G41" s="2" t="s">
        <v>21</v>
      </c>
      <c r="H41" s="2" t="s">
        <v>42</v>
      </c>
      <c r="I41" s="2" t="s">
        <v>43</v>
      </c>
      <c r="J41" s="2" t="s">
        <v>45</v>
      </c>
      <c r="K41" s="2" t="s">
        <v>46</v>
      </c>
      <c r="L41" s="2"/>
      <c r="M41" s="8" t="s">
        <v>366</v>
      </c>
    </row>
    <row r="42">
      <c r="A42" s="6"/>
      <c r="B42" s="13" t="s">
        <v>370</v>
      </c>
      <c r="C42" s="19" t="s">
        <v>371</v>
      </c>
      <c r="D42" s="2" t="s">
        <v>31</v>
      </c>
      <c r="E42" s="6" t="s">
        <v>164</v>
      </c>
      <c r="F42" s="2" t="s">
        <v>39</v>
      </c>
      <c r="G42" s="2" t="s">
        <v>21</v>
      </c>
      <c r="H42" s="2" t="s">
        <v>42</v>
      </c>
      <c r="I42" s="2" t="s">
        <v>43</v>
      </c>
      <c r="J42" s="2" t="s">
        <v>45</v>
      </c>
      <c r="K42" s="2" t="s">
        <v>46</v>
      </c>
      <c r="L42" s="2"/>
      <c r="M42" s="8" t="s">
        <v>375</v>
      </c>
    </row>
    <row r="43">
      <c r="A43" s="6"/>
      <c r="B43" s="13" t="s">
        <v>377</v>
      </c>
      <c r="C43" s="19" t="s">
        <v>378</v>
      </c>
      <c r="D43" s="2" t="s">
        <v>31</v>
      </c>
      <c r="E43" s="6" t="s">
        <v>240</v>
      </c>
      <c r="F43" s="2" t="s">
        <v>39</v>
      </c>
      <c r="G43" s="2" t="s">
        <v>21</v>
      </c>
      <c r="H43" s="2" t="s">
        <v>42</v>
      </c>
      <c r="I43" s="2" t="s">
        <v>43</v>
      </c>
      <c r="J43" s="2" t="s">
        <v>45</v>
      </c>
      <c r="K43" s="2" t="s">
        <v>46</v>
      </c>
      <c r="L43" s="2"/>
      <c r="M43" s="8" t="s">
        <v>382</v>
      </c>
    </row>
    <row r="44">
      <c r="A44" s="6"/>
      <c r="B44" s="13" t="s">
        <v>386</v>
      </c>
      <c r="C44" s="19" t="s">
        <v>387</v>
      </c>
      <c r="D44" s="2" t="s">
        <v>31</v>
      </c>
      <c r="E44" s="6" t="s">
        <v>148</v>
      </c>
      <c r="F44" s="2" t="s">
        <v>39</v>
      </c>
      <c r="G44" s="2" t="s">
        <v>21</v>
      </c>
      <c r="H44" s="2" t="s">
        <v>42</v>
      </c>
      <c r="I44" s="2" t="s">
        <v>43</v>
      </c>
      <c r="J44" s="2" t="s">
        <v>45</v>
      </c>
      <c r="K44" s="2" t="s">
        <v>46</v>
      </c>
      <c r="L44" s="2"/>
      <c r="M44" s="8" t="s">
        <v>389</v>
      </c>
    </row>
    <row r="45">
      <c r="A45" s="6"/>
      <c r="B45" s="13" t="s">
        <v>393</v>
      </c>
      <c r="C45" s="19" t="s">
        <v>394</v>
      </c>
      <c r="D45" s="2" t="s">
        <v>31</v>
      </c>
      <c r="E45" s="6" t="s">
        <v>193</v>
      </c>
      <c r="F45" s="2" t="s">
        <v>39</v>
      </c>
      <c r="G45" s="2" t="s">
        <v>21</v>
      </c>
      <c r="H45" s="2" t="s">
        <v>42</v>
      </c>
      <c r="I45" s="2" t="s">
        <v>43</v>
      </c>
      <c r="J45" s="2" t="s">
        <v>45</v>
      </c>
      <c r="K45" s="2" t="s">
        <v>46</v>
      </c>
      <c r="L45" s="2"/>
      <c r="M45" s="8" t="s">
        <v>397</v>
      </c>
    </row>
    <row r="46">
      <c r="A46" s="6"/>
      <c r="B46" s="13" t="s">
        <v>399</v>
      </c>
      <c r="C46" s="19" t="s">
        <v>400</v>
      </c>
      <c r="D46" s="2" t="s">
        <v>31</v>
      </c>
      <c r="E46" s="6" t="s">
        <v>233</v>
      </c>
      <c r="F46" s="2" t="s">
        <v>39</v>
      </c>
      <c r="G46" s="2" t="s">
        <v>21</v>
      </c>
      <c r="H46" s="2" t="s">
        <v>42</v>
      </c>
      <c r="I46" s="2" t="s">
        <v>43</v>
      </c>
      <c r="J46" s="2" t="s">
        <v>45</v>
      </c>
      <c r="K46" s="2" t="s">
        <v>46</v>
      </c>
      <c r="L46" s="2"/>
      <c r="M46" s="8" t="s">
        <v>404</v>
      </c>
    </row>
    <row r="47">
      <c r="A47" s="6"/>
      <c r="B47" s="13" t="s">
        <v>409</v>
      </c>
      <c r="C47" s="19" t="s">
        <v>410</v>
      </c>
      <c r="D47" s="2" t="s">
        <v>31</v>
      </c>
      <c r="E47" s="6" t="s">
        <v>211</v>
      </c>
      <c r="F47" s="2" t="s">
        <v>39</v>
      </c>
      <c r="G47" s="2" t="s">
        <v>21</v>
      </c>
      <c r="H47" s="2" t="s">
        <v>42</v>
      </c>
      <c r="I47" s="2" t="s">
        <v>43</v>
      </c>
      <c r="J47" s="2" t="s">
        <v>45</v>
      </c>
      <c r="K47" s="2" t="s">
        <v>46</v>
      </c>
      <c r="L47" s="2"/>
      <c r="M47" s="8" t="s">
        <v>414</v>
      </c>
    </row>
    <row r="48">
      <c r="A48" s="6"/>
      <c r="B48" s="13" t="s">
        <v>418</v>
      </c>
      <c r="C48" s="19" t="s">
        <v>419</v>
      </c>
      <c r="D48" s="2" t="s">
        <v>31</v>
      </c>
      <c r="E48" s="2" t="s">
        <v>421</v>
      </c>
      <c r="F48" s="2" t="s">
        <v>39</v>
      </c>
      <c r="G48" s="2" t="s">
        <v>21</v>
      </c>
      <c r="H48" s="2" t="s">
        <v>42</v>
      </c>
      <c r="I48" s="2" t="s">
        <v>43</v>
      </c>
      <c r="J48" s="2" t="s">
        <v>45</v>
      </c>
      <c r="K48" s="2" t="s">
        <v>46</v>
      </c>
      <c r="L48" s="2"/>
      <c r="M48" s="8" t="s">
        <v>425</v>
      </c>
    </row>
    <row r="49">
      <c r="A49" s="6"/>
      <c r="B49" s="13" t="s">
        <v>432</v>
      </c>
      <c r="C49" s="19" t="s">
        <v>433</v>
      </c>
      <c r="D49" s="2" t="s">
        <v>31</v>
      </c>
      <c r="E49" s="6" t="s">
        <v>270</v>
      </c>
      <c r="F49" s="2" t="s">
        <v>39</v>
      </c>
      <c r="G49" s="2" t="s">
        <v>21</v>
      </c>
      <c r="H49" s="2" t="s">
        <v>42</v>
      </c>
      <c r="I49" s="2" t="s">
        <v>43</v>
      </c>
      <c r="J49" s="2" t="s">
        <v>45</v>
      </c>
      <c r="K49" s="2" t="s">
        <v>46</v>
      </c>
      <c r="L49" s="2"/>
      <c r="M49" s="8" t="s">
        <v>437</v>
      </c>
    </row>
    <row r="50">
      <c r="A50" s="6"/>
      <c r="B50" s="13" t="s">
        <v>439</v>
      </c>
      <c r="C50" s="8" t="s">
        <v>440</v>
      </c>
      <c r="D50" s="2" t="s">
        <v>31</v>
      </c>
      <c r="E50" s="2" t="s">
        <v>429</v>
      </c>
      <c r="F50" s="2" t="s">
        <v>39</v>
      </c>
      <c r="G50" s="2" t="s">
        <v>21</v>
      </c>
      <c r="H50" s="2" t="s">
        <v>42</v>
      </c>
      <c r="I50" s="2" t="s">
        <v>43</v>
      </c>
      <c r="J50" s="2" t="s">
        <v>45</v>
      </c>
      <c r="K50" s="2" t="s">
        <v>46</v>
      </c>
      <c r="L50" s="2"/>
      <c r="M50" s="8" t="s">
        <v>444</v>
      </c>
    </row>
    <row r="51">
      <c r="A51" s="6"/>
      <c r="B51" s="13" t="s">
        <v>448</v>
      </c>
      <c r="C51" s="19" t="s">
        <v>449</v>
      </c>
      <c r="D51" s="2" t="s">
        <v>31</v>
      </c>
      <c r="E51" s="2" t="s">
        <v>372</v>
      </c>
      <c r="F51" s="2" t="s">
        <v>39</v>
      </c>
      <c r="G51" s="2" t="s">
        <v>21</v>
      </c>
      <c r="H51" s="2" t="s">
        <v>42</v>
      </c>
      <c r="I51" s="2" t="s">
        <v>43</v>
      </c>
      <c r="J51" s="2" t="s">
        <v>45</v>
      </c>
      <c r="K51" s="2" t="s">
        <v>46</v>
      </c>
      <c r="L51" s="2"/>
      <c r="M51" s="8" t="s">
        <v>452</v>
      </c>
    </row>
    <row r="52">
      <c r="A52" s="6"/>
      <c r="B52" s="13" t="s">
        <v>455</v>
      </c>
      <c r="C52" s="19" t="s">
        <v>456</v>
      </c>
      <c r="D52" s="2" t="s">
        <v>31</v>
      </c>
      <c r="E52" s="6" t="s">
        <v>411</v>
      </c>
      <c r="F52" s="2" t="s">
        <v>39</v>
      </c>
      <c r="G52" s="2" t="s">
        <v>21</v>
      </c>
      <c r="H52" s="2" t="s">
        <v>42</v>
      </c>
      <c r="I52" s="2" t="s">
        <v>43</v>
      </c>
      <c r="J52" s="2" t="s">
        <v>45</v>
      </c>
      <c r="K52" s="2" t="s">
        <v>46</v>
      </c>
      <c r="L52" s="2"/>
      <c r="M52" s="8" t="s">
        <v>460</v>
      </c>
    </row>
    <row r="53">
      <c r="A53" s="6"/>
      <c r="B53" s="13" t="s">
        <v>462</v>
      </c>
      <c r="C53" s="19" t="s">
        <v>463</v>
      </c>
      <c r="D53" s="2" t="s">
        <v>31</v>
      </c>
      <c r="E53" s="6" t="s">
        <v>155</v>
      </c>
      <c r="F53" s="2" t="s">
        <v>39</v>
      </c>
      <c r="G53" s="2" t="s">
        <v>21</v>
      </c>
      <c r="H53" s="2" t="s">
        <v>42</v>
      </c>
      <c r="I53" s="2" t="s">
        <v>43</v>
      </c>
      <c r="J53" s="2" t="s">
        <v>45</v>
      </c>
      <c r="K53" s="2" t="s">
        <v>46</v>
      </c>
      <c r="L53" s="2"/>
      <c r="M53" s="8" t="s">
        <v>467</v>
      </c>
    </row>
    <row r="54">
      <c r="A54" s="6"/>
      <c r="B54" s="13" t="s">
        <v>470</v>
      </c>
      <c r="C54" s="19" t="s">
        <v>471</v>
      </c>
      <c r="D54" s="2" t="s">
        <v>31</v>
      </c>
      <c r="E54" s="6" t="s">
        <v>69</v>
      </c>
      <c r="F54" s="2" t="s">
        <v>39</v>
      </c>
      <c r="G54" s="2" t="s">
        <v>21</v>
      </c>
      <c r="H54" s="2" t="s">
        <v>42</v>
      </c>
      <c r="I54" s="2" t="s">
        <v>43</v>
      </c>
      <c r="J54" s="2" t="s">
        <v>45</v>
      </c>
      <c r="K54" s="2" t="s">
        <v>46</v>
      </c>
      <c r="L54" s="2"/>
      <c r="M54" s="8" t="s">
        <v>473</v>
      </c>
    </row>
    <row r="55">
      <c r="A55" s="6"/>
      <c r="B55" s="13" t="s">
        <v>476</v>
      </c>
      <c r="C55" s="19" t="s">
        <v>477</v>
      </c>
      <c r="D55" s="2" t="s">
        <v>31</v>
      </c>
      <c r="E55" s="6" t="s">
        <v>480</v>
      </c>
      <c r="F55" s="2" t="s">
        <v>39</v>
      </c>
      <c r="G55" s="2" t="s">
        <v>21</v>
      </c>
      <c r="H55" s="2" t="s">
        <v>42</v>
      </c>
      <c r="I55" s="2" t="s">
        <v>43</v>
      </c>
      <c r="J55" s="2" t="s">
        <v>45</v>
      </c>
      <c r="K55" s="2" t="s">
        <v>46</v>
      </c>
      <c r="L55" s="2"/>
      <c r="M55" s="8" t="s">
        <v>482</v>
      </c>
    </row>
    <row r="56">
      <c r="A56" s="6"/>
      <c r="B56" s="13" t="s">
        <v>484</v>
      </c>
      <c r="C56" s="19" t="s">
        <v>485</v>
      </c>
      <c r="D56" s="2" t="s">
        <v>31</v>
      </c>
      <c r="E56" s="6" t="s">
        <v>228</v>
      </c>
      <c r="F56" s="2" t="s">
        <v>39</v>
      </c>
      <c r="G56" s="2" t="s">
        <v>21</v>
      </c>
      <c r="H56" s="2" t="s">
        <v>42</v>
      </c>
      <c r="I56" s="2" t="s">
        <v>43</v>
      </c>
      <c r="J56" s="2" t="s">
        <v>45</v>
      </c>
      <c r="K56" s="2" t="s">
        <v>46</v>
      </c>
      <c r="L56" s="2"/>
      <c r="M56" s="8" t="s">
        <v>487</v>
      </c>
    </row>
    <row r="57">
      <c r="A57" s="6"/>
      <c r="B57" s="13" t="s">
        <v>489</v>
      </c>
      <c r="C57" s="19" t="s">
        <v>490</v>
      </c>
      <c r="D57" s="2" t="s">
        <v>31</v>
      </c>
      <c r="E57" s="6" t="s">
        <v>415</v>
      </c>
      <c r="F57" s="2" t="s">
        <v>39</v>
      </c>
      <c r="G57" s="2" t="s">
        <v>21</v>
      </c>
      <c r="H57" s="2" t="s">
        <v>42</v>
      </c>
      <c r="I57" s="2" t="s">
        <v>43</v>
      </c>
      <c r="J57" s="2" t="s">
        <v>45</v>
      </c>
      <c r="K57" s="2" t="s">
        <v>46</v>
      </c>
      <c r="L57" s="2"/>
      <c r="M57" s="8" t="s">
        <v>492</v>
      </c>
    </row>
    <row r="58">
      <c r="A58" s="6"/>
      <c r="B58" s="13" t="s">
        <v>494</v>
      </c>
      <c r="C58" s="19" t="s">
        <v>495</v>
      </c>
      <c r="D58" s="2" t="s">
        <v>31</v>
      </c>
      <c r="E58" s="2" t="s">
        <v>451</v>
      </c>
      <c r="F58" s="2" t="s">
        <v>39</v>
      </c>
      <c r="G58" s="2" t="s">
        <v>21</v>
      </c>
      <c r="H58" s="2" t="s">
        <v>42</v>
      </c>
      <c r="I58" s="2" t="s">
        <v>43</v>
      </c>
      <c r="J58" s="2" t="s">
        <v>45</v>
      </c>
      <c r="K58" s="2" t="s">
        <v>46</v>
      </c>
      <c r="L58" s="2"/>
      <c r="M58" s="8" t="s">
        <v>497</v>
      </c>
    </row>
    <row r="59">
      <c r="A59" s="6"/>
      <c r="B59" s="13" t="s">
        <v>499</v>
      </c>
      <c r="C59" s="19" t="s">
        <v>500</v>
      </c>
      <c r="D59" s="2" t="s">
        <v>31</v>
      </c>
      <c r="E59" s="6" t="s">
        <v>434</v>
      </c>
      <c r="F59" s="2" t="s">
        <v>39</v>
      </c>
      <c r="G59" s="2" t="s">
        <v>21</v>
      </c>
      <c r="H59" s="2" t="s">
        <v>42</v>
      </c>
      <c r="I59" s="2" t="s">
        <v>43</v>
      </c>
      <c r="J59" s="2" t="s">
        <v>45</v>
      </c>
      <c r="K59" s="2" t="s">
        <v>46</v>
      </c>
      <c r="L59" s="2"/>
      <c r="M59" s="8" t="s">
        <v>502</v>
      </c>
    </row>
    <row r="60">
      <c r="A60" s="6"/>
      <c r="B60" s="13" t="s">
        <v>504</v>
      </c>
      <c r="C60" s="19" t="s">
        <v>505</v>
      </c>
      <c r="D60" s="2" t="s">
        <v>31</v>
      </c>
      <c r="E60" s="2" t="s">
        <v>405</v>
      </c>
      <c r="F60" s="2" t="s">
        <v>39</v>
      </c>
      <c r="G60" s="2" t="s">
        <v>21</v>
      </c>
      <c r="H60" s="2" t="s">
        <v>42</v>
      </c>
      <c r="I60" s="2" t="s">
        <v>43</v>
      </c>
      <c r="J60" s="2" t="s">
        <v>45</v>
      </c>
      <c r="K60" s="2" t="s">
        <v>46</v>
      </c>
      <c r="L60" s="2"/>
      <c r="M60" s="8" t="s">
        <v>507</v>
      </c>
    </row>
    <row r="61">
      <c r="A61" s="6"/>
      <c r="B61" s="13" t="s">
        <v>509</v>
      </c>
      <c r="C61" s="19" t="s">
        <v>510</v>
      </c>
      <c r="D61" s="2" t="s">
        <v>31</v>
      </c>
      <c r="E61" s="6" t="s">
        <v>63</v>
      </c>
      <c r="F61" s="2" t="s">
        <v>39</v>
      </c>
      <c r="G61" s="2" t="s">
        <v>21</v>
      </c>
      <c r="H61" s="2" t="s">
        <v>42</v>
      </c>
      <c r="I61" s="2" t="s">
        <v>43</v>
      </c>
      <c r="J61" s="2" t="s">
        <v>45</v>
      </c>
      <c r="K61" s="2" t="s">
        <v>46</v>
      </c>
      <c r="L61" s="2"/>
      <c r="M61" s="8" t="s">
        <v>512</v>
      </c>
    </row>
    <row r="62">
      <c r="A62" s="6"/>
      <c r="B62" s="13" t="s">
        <v>513</v>
      </c>
      <c r="C62" s="19" t="s">
        <v>514</v>
      </c>
      <c r="D62" s="2" t="s">
        <v>31</v>
      </c>
      <c r="E62" s="2" t="s">
        <v>441</v>
      </c>
      <c r="F62" s="2" t="s">
        <v>39</v>
      </c>
      <c r="G62" s="2" t="s">
        <v>21</v>
      </c>
      <c r="H62" s="2" t="s">
        <v>42</v>
      </c>
      <c r="I62" s="2" t="s">
        <v>43</v>
      </c>
      <c r="J62" s="2" t="s">
        <v>45</v>
      </c>
      <c r="K62" s="2" t="s">
        <v>46</v>
      </c>
      <c r="L62" s="2"/>
      <c r="M62" s="8" t="s">
        <v>517</v>
      </c>
    </row>
    <row r="63">
      <c r="A63" s="6"/>
      <c r="B63" s="13" t="s">
        <v>518</v>
      </c>
      <c r="C63" s="19" t="s">
        <v>519</v>
      </c>
      <c r="D63" s="2" t="s">
        <v>31</v>
      </c>
      <c r="E63" s="6" t="s">
        <v>351</v>
      </c>
      <c r="F63" s="2" t="s">
        <v>39</v>
      </c>
      <c r="G63" s="2" t="s">
        <v>21</v>
      </c>
      <c r="H63" s="2" t="s">
        <v>42</v>
      </c>
      <c r="I63" s="2" t="s">
        <v>43</v>
      </c>
      <c r="J63" s="2" t="s">
        <v>45</v>
      </c>
      <c r="K63" s="2" t="s">
        <v>46</v>
      </c>
      <c r="L63" s="2"/>
      <c r="M63" s="8" t="s">
        <v>521</v>
      </c>
    </row>
    <row r="64">
      <c r="A64" s="6"/>
      <c r="B64" s="13" t="s">
        <v>523</v>
      </c>
      <c r="C64" s="19" t="s">
        <v>524</v>
      </c>
      <c r="D64" s="2" t="s">
        <v>31</v>
      </c>
      <c r="E64" s="6" t="s">
        <v>341</v>
      </c>
      <c r="F64" s="2" t="s">
        <v>39</v>
      </c>
      <c r="G64" s="2" t="s">
        <v>21</v>
      </c>
      <c r="H64" s="2" t="s">
        <v>42</v>
      </c>
      <c r="I64" s="2" t="s">
        <v>43</v>
      </c>
      <c r="J64" s="2" t="s">
        <v>45</v>
      </c>
      <c r="K64" s="2" t="s">
        <v>46</v>
      </c>
      <c r="L64" s="2"/>
      <c r="M64" s="8" t="s">
        <v>527</v>
      </c>
    </row>
    <row r="65">
      <c r="A65" s="6"/>
      <c r="B65" s="13" t="s">
        <v>529</v>
      </c>
      <c r="C65" s="19" t="s">
        <v>530</v>
      </c>
      <c r="D65" s="2" t="s">
        <v>31</v>
      </c>
      <c r="E65" s="6" t="s">
        <v>311</v>
      </c>
      <c r="F65" s="2" t="s">
        <v>39</v>
      </c>
      <c r="G65" s="2" t="s">
        <v>21</v>
      </c>
      <c r="H65" s="2" t="s">
        <v>42</v>
      </c>
      <c r="I65" s="2" t="s">
        <v>43</v>
      </c>
      <c r="J65" s="2" t="s">
        <v>45</v>
      </c>
      <c r="K65" s="2" t="s">
        <v>46</v>
      </c>
      <c r="L65" s="2"/>
      <c r="M65" s="8" t="s">
        <v>533</v>
      </c>
    </row>
    <row r="66">
      <c r="A66" s="6"/>
      <c r="B66" s="13" t="s">
        <v>534</v>
      </c>
      <c r="C66" s="19" t="s">
        <v>535</v>
      </c>
      <c r="D66" s="2" t="s">
        <v>31</v>
      </c>
      <c r="E66" s="6" t="s">
        <v>478</v>
      </c>
      <c r="F66" s="2" t="s">
        <v>39</v>
      </c>
      <c r="G66" s="2" t="s">
        <v>21</v>
      </c>
      <c r="H66" s="2" t="s">
        <v>42</v>
      </c>
      <c r="I66" s="2" t="s">
        <v>43</v>
      </c>
      <c r="J66" s="2" t="s">
        <v>45</v>
      </c>
      <c r="K66" s="2" t="s">
        <v>46</v>
      </c>
      <c r="L66" s="2"/>
      <c r="M66" s="8" t="s">
        <v>537</v>
      </c>
    </row>
    <row r="67">
      <c r="A67" s="6"/>
      <c r="B67" s="13" t="s">
        <v>539</v>
      </c>
      <c r="C67" s="19" t="s">
        <v>540</v>
      </c>
      <c r="D67" s="2" t="s">
        <v>31</v>
      </c>
      <c r="E67" s="2" t="s">
        <v>464</v>
      </c>
      <c r="F67" s="2" t="s">
        <v>39</v>
      </c>
      <c r="G67" s="2" t="s">
        <v>21</v>
      </c>
      <c r="H67" s="2" t="s">
        <v>42</v>
      </c>
      <c r="I67" s="2" t="s">
        <v>43</v>
      </c>
      <c r="J67" s="2" t="s">
        <v>45</v>
      </c>
      <c r="K67" s="2" t="s">
        <v>46</v>
      </c>
      <c r="L67" s="2"/>
      <c r="M67" s="8" t="s">
        <v>541</v>
      </c>
    </row>
    <row r="68">
      <c r="A68" s="6"/>
      <c r="B68" s="13" t="s">
        <v>543</v>
      </c>
      <c r="C68" s="19" t="s">
        <v>544</v>
      </c>
      <c r="D68" s="2" t="s">
        <v>31</v>
      </c>
      <c r="E68" s="6" t="s">
        <v>184</v>
      </c>
      <c r="F68" s="2" t="s">
        <v>39</v>
      </c>
      <c r="G68" s="2" t="s">
        <v>21</v>
      </c>
      <c r="H68" s="2" t="s">
        <v>42</v>
      </c>
      <c r="I68" s="2" t="s">
        <v>43</v>
      </c>
      <c r="J68" s="2" t="s">
        <v>45</v>
      </c>
      <c r="K68" s="2" t="s">
        <v>46</v>
      </c>
      <c r="L68" s="2"/>
      <c r="M68" s="8" t="s">
        <v>546</v>
      </c>
    </row>
    <row r="69">
      <c r="A69" s="6"/>
      <c r="B69" s="13" t="s">
        <v>548</v>
      </c>
      <c r="C69" s="19" t="s">
        <v>549</v>
      </c>
      <c r="D69" s="2" t="s">
        <v>31</v>
      </c>
      <c r="E69" s="6" t="s">
        <v>251</v>
      </c>
      <c r="F69" s="2" t="s">
        <v>39</v>
      </c>
      <c r="G69" s="2" t="s">
        <v>21</v>
      </c>
      <c r="H69" s="2" t="s">
        <v>42</v>
      </c>
      <c r="I69" s="2" t="s">
        <v>43</v>
      </c>
      <c r="J69" s="2" t="s">
        <v>45</v>
      </c>
      <c r="K69" s="2" t="s">
        <v>46</v>
      </c>
      <c r="L69" s="2"/>
      <c r="M69" s="8" t="s">
        <v>551</v>
      </c>
    </row>
    <row r="70">
      <c r="A70" s="6"/>
      <c r="B70" s="13" t="s">
        <v>552</v>
      </c>
      <c r="C70" s="19" t="s">
        <v>553</v>
      </c>
      <c r="D70" s="2" t="s">
        <v>31</v>
      </c>
      <c r="E70" s="6" t="s">
        <v>200</v>
      </c>
      <c r="F70" s="2" t="s">
        <v>39</v>
      </c>
      <c r="G70" s="2" t="s">
        <v>21</v>
      </c>
      <c r="H70" s="2" t="s">
        <v>42</v>
      </c>
      <c r="I70" s="2" t="s">
        <v>43</v>
      </c>
      <c r="J70" s="2" t="s">
        <v>45</v>
      </c>
      <c r="K70" s="2" t="s">
        <v>46</v>
      </c>
      <c r="L70" s="2"/>
      <c r="M70" s="8" t="s">
        <v>555</v>
      </c>
    </row>
    <row r="71">
      <c r="A71" s="6"/>
      <c r="B71" s="13" t="s">
        <v>557</v>
      </c>
      <c r="C71" s="19" t="s">
        <v>558</v>
      </c>
      <c r="D71" s="2" t="s">
        <v>31</v>
      </c>
      <c r="E71" s="6" t="s">
        <v>445</v>
      </c>
      <c r="F71" s="2" t="s">
        <v>39</v>
      </c>
      <c r="G71" s="2" t="s">
        <v>21</v>
      </c>
      <c r="H71" s="2" t="s">
        <v>42</v>
      </c>
      <c r="I71" s="2" t="s">
        <v>43</v>
      </c>
      <c r="J71" s="2" t="s">
        <v>45</v>
      </c>
      <c r="K71" s="2" t="s">
        <v>46</v>
      </c>
      <c r="L71" s="2"/>
      <c r="M71" s="8" t="s">
        <v>560</v>
      </c>
    </row>
    <row r="72">
      <c r="A72" s="6"/>
      <c r="B72" s="13" t="s">
        <v>561</v>
      </c>
      <c r="C72" s="19" t="s">
        <v>562</v>
      </c>
      <c r="D72" s="2" t="s">
        <v>31</v>
      </c>
      <c r="E72" s="2" t="s">
        <v>457</v>
      </c>
      <c r="F72" s="2" t="s">
        <v>39</v>
      </c>
      <c r="G72" s="2" t="s">
        <v>21</v>
      </c>
      <c r="H72" s="2" t="s">
        <v>42</v>
      </c>
      <c r="I72" s="2" t="s">
        <v>43</v>
      </c>
      <c r="J72" s="2" t="s">
        <v>45</v>
      </c>
      <c r="K72" s="2" t="s">
        <v>46</v>
      </c>
      <c r="L72" s="2"/>
      <c r="M72" s="8" t="s">
        <v>564</v>
      </c>
    </row>
    <row r="73">
      <c r="A73" s="6"/>
      <c r="B73" s="13" t="s">
        <v>565</v>
      </c>
      <c r="C73" s="19" t="s">
        <v>566</v>
      </c>
      <c r="D73" s="2" t="s">
        <v>31</v>
      </c>
      <c r="E73" s="6" t="s">
        <v>568</v>
      </c>
      <c r="F73" s="2" t="s">
        <v>39</v>
      </c>
      <c r="G73" s="2" t="s">
        <v>21</v>
      </c>
      <c r="H73" s="2" t="s">
        <v>42</v>
      </c>
      <c r="I73" s="2" t="s">
        <v>43</v>
      </c>
      <c r="J73" s="2" t="s">
        <v>45</v>
      </c>
      <c r="K73" s="2" t="s">
        <v>46</v>
      </c>
      <c r="L73" s="2"/>
      <c r="M73" s="8" t="s">
        <v>569</v>
      </c>
    </row>
    <row r="74">
      <c r="A74" s="6"/>
      <c r="B74" s="13" t="s">
        <v>571</v>
      </c>
      <c r="C74" s="19" t="s">
        <v>572</v>
      </c>
      <c r="D74" s="2" t="s">
        <v>31</v>
      </c>
      <c r="E74" s="6" t="s">
        <v>357</v>
      </c>
      <c r="F74" s="2" t="s">
        <v>39</v>
      </c>
      <c r="G74" s="2" t="s">
        <v>21</v>
      </c>
      <c r="H74" s="2" t="s">
        <v>42</v>
      </c>
      <c r="I74" s="2" t="s">
        <v>43</v>
      </c>
      <c r="J74" s="2" t="s">
        <v>45</v>
      </c>
      <c r="K74" s="2" t="s">
        <v>46</v>
      </c>
      <c r="L74" s="2"/>
      <c r="M74" s="8" t="s">
        <v>574</v>
      </c>
    </row>
    <row r="75">
      <c r="A75" s="6"/>
      <c r="B75" s="13" t="s">
        <v>575</v>
      </c>
      <c r="C75" s="19" t="s">
        <v>576</v>
      </c>
      <c r="D75" s="2" t="s">
        <v>31</v>
      </c>
      <c r="E75" s="6" t="s">
        <v>279</v>
      </c>
      <c r="F75" s="2" t="s">
        <v>39</v>
      </c>
      <c r="G75" s="2" t="s">
        <v>21</v>
      </c>
      <c r="H75" s="2" t="s">
        <v>42</v>
      </c>
      <c r="I75" s="2" t="s">
        <v>43</v>
      </c>
      <c r="J75" s="2" t="s">
        <v>45</v>
      </c>
      <c r="K75" s="2" t="s">
        <v>46</v>
      </c>
      <c r="L75" s="2"/>
      <c r="M75" s="8" t="s">
        <v>578</v>
      </c>
    </row>
    <row r="76">
      <c r="A76" s="6"/>
      <c r="B76" s="13" t="s">
        <v>579</v>
      </c>
      <c r="C76" s="19" t="s">
        <v>580</v>
      </c>
      <c r="D76" s="2" t="s">
        <v>31</v>
      </c>
      <c r="E76" s="6" t="s">
        <v>582</v>
      </c>
      <c r="F76" s="2" t="s">
        <v>39</v>
      </c>
      <c r="G76" s="2" t="s">
        <v>21</v>
      </c>
      <c r="H76" s="2" t="s">
        <v>42</v>
      </c>
      <c r="I76" s="2" t="s">
        <v>43</v>
      </c>
      <c r="J76" s="2" t="s">
        <v>45</v>
      </c>
      <c r="K76" s="2" t="s">
        <v>46</v>
      </c>
      <c r="L76" s="2"/>
      <c r="M76" s="8" t="s">
        <v>583</v>
      </c>
    </row>
    <row r="77">
      <c r="A77" s="6"/>
      <c r="B77" s="13" t="s">
        <v>585</v>
      </c>
      <c r="C77" s="19" t="s">
        <v>586</v>
      </c>
      <c r="D77" s="2" t="s">
        <v>31</v>
      </c>
      <c r="E77" s="6" t="s">
        <v>222</v>
      </c>
      <c r="F77" s="2" t="s">
        <v>39</v>
      </c>
      <c r="G77" s="2" t="s">
        <v>21</v>
      </c>
      <c r="H77" s="2" t="s">
        <v>42</v>
      </c>
      <c r="I77" s="2" t="s">
        <v>43</v>
      </c>
      <c r="J77" s="2" t="s">
        <v>45</v>
      </c>
      <c r="K77" s="2" t="s">
        <v>46</v>
      </c>
      <c r="L77" s="2"/>
      <c r="M77" s="8" t="s">
        <v>588</v>
      </c>
    </row>
    <row r="78">
      <c r="A78" s="6"/>
      <c r="B78" s="13" t="s">
        <v>590</v>
      </c>
      <c r="C78" s="19" t="s">
        <v>591</v>
      </c>
      <c r="D78" s="2" t="s">
        <v>31</v>
      </c>
      <c r="E78" s="6" t="s">
        <v>338</v>
      </c>
      <c r="F78" s="2" t="s">
        <v>39</v>
      </c>
      <c r="G78" s="2" t="s">
        <v>21</v>
      </c>
      <c r="H78" s="2" t="s">
        <v>42</v>
      </c>
      <c r="I78" s="2" t="s">
        <v>43</v>
      </c>
      <c r="J78" s="2" t="s">
        <v>45</v>
      </c>
      <c r="K78" s="2" t="s">
        <v>46</v>
      </c>
      <c r="L78" s="2"/>
      <c r="M78" s="8" t="s">
        <v>592</v>
      </c>
    </row>
    <row r="79">
      <c r="A79" s="6"/>
      <c r="B79" s="13" t="s">
        <v>593</v>
      </c>
      <c r="C79" s="19" t="s">
        <v>594</v>
      </c>
      <c r="D79" s="2" t="s">
        <v>31</v>
      </c>
      <c r="E79" s="6" t="s">
        <v>101</v>
      </c>
      <c r="F79" s="2" t="s">
        <v>39</v>
      </c>
      <c r="G79" s="2" t="s">
        <v>21</v>
      </c>
      <c r="H79" s="2" t="s">
        <v>42</v>
      </c>
      <c r="I79" s="2" t="s">
        <v>43</v>
      </c>
      <c r="J79" s="2" t="s">
        <v>45</v>
      </c>
      <c r="K79" s="2" t="s">
        <v>46</v>
      </c>
      <c r="L79" s="2"/>
      <c r="M79" s="8" t="s">
        <v>595</v>
      </c>
    </row>
    <row r="80">
      <c r="A80" s="6"/>
      <c r="B80" s="13" t="s">
        <v>600</v>
      </c>
      <c r="C80" s="6"/>
      <c r="D80" s="6"/>
      <c r="E80" s="6"/>
      <c r="F80" s="2" t="s">
        <v>39</v>
      </c>
      <c r="G80" s="2" t="s">
        <v>21</v>
      </c>
      <c r="H80" s="2" t="s">
        <v>42</v>
      </c>
      <c r="I80" s="2" t="s">
        <v>43</v>
      </c>
      <c r="J80" s="2" t="s">
        <v>45</v>
      </c>
      <c r="K80" s="2" t="s">
        <v>46</v>
      </c>
      <c r="L80" s="2"/>
      <c r="M80" s="8" t="s">
        <v>602</v>
      </c>
    </row>
    <row r="81">
      <c r="A81" s="6"/>
      <c r="B81" s="13" t="s">
        <v>603</v>
      </c>
      <c r="C81" s="19" t="s">
        <v>604</v>
      </c>
      <c r="D81" s="2" t="s">
        <v>31</v>
      </c>
      <c r="E81" s="6" t="s">
        <v>75</v>
      </c>
      <c r="F81" s="2" t="s">
        <v>39</v>
      </c>
      <c r="G81" s="2" t="s">
        <v>21</v>
      </c>
      <c r="H81" s="2" t="s">
        <v>42</v>
      </c>
      <c r="I81" s="2" t="s">
        <v>43</v>
      </c>
      <c r="J81" s="2" t="s">
        <v>45</v>
      </c>
      <c r="K81" s="2" t="s">
        <v>46</v>
      </c>
      <c r="L81" s="2"/>
      <c r="M81" s="8" t="s">
        <v>605</v>
      </c>
    </row>
    <row r="82">
      <c r="A82" s="6"/>
      <c r="B82" s="13" t="s">
        <v>606</v>
      </c>
      <c r="C82" s="19" t="s">
        <v>607</v>
      </c>
      <c r="D82" s="2" t="s">
        <v>31</v>
      </c>
      <c r="E82" s="6" t="s">
        <v>478</v>
      </c>
      <c r="F82" s="2" t="s">
        <v>39</v>
      </c>
      <c r="G82" s="2" t="s">
        <v>21</v>
      </c>
      <c r="H82" s="2" t="s">
        <v>42</v>
      </c>
      <c r="I82" s="2" t="s">
        <v>43</v>
      </c>
      <c r="J82" s="2" t="s">
        <v>45</v>
      </c>
      <c r="K82" s="2" t="s">
        <v>46</v>
      </c>
      <c r="L82" s="2"/>
      <c r="M82" s="8" t="s">
        <v>608</v>
      </c>
    </row>
    <row r="83">
      <c r="A83" s="6"/>
      <c r="B83" s="13" t="s">
        <v>609</v>
      </c>
      <c r="C83" s="19" t="s">
        <v>610</v>
      </c>
      <c r="D83" s="2" t="s">
        <v>31</v>
      </c>
      <c r="E83" s="6" t="s">
        <v>164</v>
      </c>
      <c r="F83" s="2" t="s">
        <v>39</v>
      </c>
      <c r="G83" s="2" t="s">
        <v>21</v>
      </c>
      <c r="H83" s="2" t="s">
        <v>42</v>
      </c>
      <c r="I83" s="2" t="s">
        <v>43</v>
      </c>
      <c r="J83" s="2" t="s">
        <v>45</v>
      </c>
      <c r="K83" s="2" t="s">
        <v>46</v>
      </c>
      <c r="L83" s="2"/>
      <c r="M83" s="8" t="s">
        <v>611</v>
      </c>
    </row>
    <row r="84">
      <c r="A84" s="6"/>
      <c r="B84" s="13" t="s">
        <v>612</v>
      </c>
      <c r="C84" s="19" t="s">
        <v>613</v>
      </c>
      <c r="D84" s="2" t="s">
        <v>31</v>
      </c>
      <c r="E84" s="6" t="s">
        <v>434</v>
      </c>
      <c r="F84" s="2" t="s">
        <v>39</v>
      </c>
      <c r="G84" s="2" t="s">
        <v>21</v>
      </c>
      <c r="H84" s="2" t="s">
        <v>42</v>
      </c>
      <c r="I84" s="2" t="s">
        <v>43</v>
      </c>
      <c r="J84" s="2" t="s">
        <v>45</v>
      </c>
      <c r="K84" s="2" t="s">
        <v>46</v>
      </c>
      <c r="L84" s="2"/>
      <c r="M84" s="8" t="s">
        <v>614</v>
      </c>
    </row>
    <row r="85">
      <c r="A85" s="6"/>
      <c r="B85" s="13" t="s">
        <v>615</v>
      </c>
      <c r="C85" s="19" t="s">
        <v>616</v>
      </c>
      <c r="D85" s="2" t="s">
        <v>31</v>
      </c>
      <c r="E85" s="6" t="s">
        <v>405</v>
      </c>
      <c r="F85" s="2" t="s">
        <v>39</v>
      </c>
      <c r="G85" s="2" t="s">
        <v>21</v>
      </c>
      <c r="H85" s="2" t="s">
        <v>42</v>
      </c>
      <c r="I85" s="2" t="s">
        <v>43</v>
      </c>
      <c r="J85" s="2" t="s">
        <v>45</v>
      </c>
      <c r="K85" s="2" t="s">
        <v>46</v>
      </c>
      <c r="L85" s="2"/>
      <c r="M85" s="8" t="s">
        <v>617</v>
      </c>
    </row>
    <row r="86">
      <c r="A86" s="6"/>
      <c r="B86" s="13" t="s">
        <v>618</v>
      </c>
      <c r="C86" s="19" t="s">
        <v>619</v>
      </c>
      <c r="D86" s="2" t="s">
        <v>31</v>
      </c>
      <c r="E86" s="6" t="s">
        <v>49</v>
      </c>
      <c r="F86" s="2" t="s">
        <v>39</v>
      </c>
      <c r="G86" s="2" t="s">
        <v>21</v>
      </c>
      <c r="H86" s="2" t="s">
        <v>42</v>
      </c>
      <c r="I86" s="2" t="s">
        <v>43</v>
      </c>
      <c r="J86" s="2" t="s">
        <v>45</v>
      </c>
      <c r="K86" s="2" t="s">
        <v>46</v>
      </c>
      <c r="L86" s="2"/>
      <c r="M86" s="8" t="s">
        <v>620</v>
      </c>
    </row>
    <row r="87">
      <c r="A87" s="6"/>
      <c r="B87" s="13" t="s">
        <v>621</v>
      </c>
      <c r="C87" s="19" t="s">
        <v>622</v>
      </c>
      <c r="D87" s="2" t="s">
        <v>31</v>
      </c>
      <c r="E87" s="6" t="s">
        <v>78</v>
      </c>
      <c r="F87" s="2" t="s">
        <v>39</v>
      </c>
      <c r="G87" s="2" t="s">
        <v>21</v>
      </c>
      <c r="H87" s="2" t="s">
        <v>42</v>
      </c>
      <c r="I87" s="2" t="s">
        <v>43</v>
      </c>
      <c r="J87" s="2" t="s">
        <v>45</v>
      </c>
      <c r="K87" s="2" t="s">
        <v>46</v>
      </c>
      <c r="L87" s="2"/>
      <c r="M87" s="8" t="s">
        <v>623</v>
      </c>
    </row>
    <row r="88">
      <c r="A88" s="6"/>
      <c r="B88" s="13" t="s">
        <v>624</v>
      </c>
      <c r="C88" s="19" t="s">
        <v>625</v>
      </c>
      <c r="D88" s="2" t="s">
        <v>31</v>
      </c>
      <c r="E88" s="6" t="s">
        <v>124</v>
      </c>
      <c r="F88" s="2" t="s">
        <v>39</v>
      </c>
      <c r="G88" s="2" t="s">
        <v>21</v>
      </c>
      <c r="H88" s="2" t="s">
        <v>42</v>
      </c>
      <c r="I88" s="2" t="s">
        <v>43</v>
      </c>
      <c r="J88" s="2" t="s">
        <v>45</v>
      </c>
      <c r="K88" s="2" t="s">
        <v>46</v>
      </c>
      <c r="L88" s="2"/>
      <c r="M88" s="8" t="s">
        <v>626</v>
      </c>
    </row>
    <row r="89">
      <c r="A89" s="6"/>
      <c r="B89" s="13" t="s">
        <v>627</v>
      </c>
      <c r="C89" s="19" t="s">
        <v>628</v>
      </c>
      <c r="D89" s="2" t="s">
        <v>31</v>
      </c>
      <c r="E89" s="6" t="s">
        <v>66</v>
      </c>
      <c r="F89" s="2" t="s">
        <v>39</v>
      </c>
      <c r="G89" s="2" t="s">
        <v>21</v>
      </c>
      <c r="H89" s="2" t="s">
        <v>42</v>
      </c>
      <c r="I89" s="2" t="s">
        <v>43</v>
      </c>
      <c r="J89" s="2" t="s">
        <v>45</v>
      </c>
      <c r="K89" s="2" t="s">
        <v>46</v>
      </c>
      <c r="L89" s="2"/>
      <c r="M89" s="8" t="s">
        <v>629</v>
      </c>
    </row>
    <row r="90">
      <c r="A90" s="6"/>
      <c r="B90" s="13" t="s">
        <v>630</v>
      </c>
      <c r="C90" s="19" t="s">
        <v>631</v>
      </c>
      <c r="D90" s="2" t="s">
        <v>31</v>
      </c>
      <c r="E90" s="6" t="s">
        <v>199</v>
      </c>
      <c r="F90" s="2" t="s">
        <v>39</v>
      </c>
      <c r="G90" s="2" t="s">
        <v>21</v>
      </c>
      <c r="H90" s="2" t="s">
        <v>42</v>
      </c>
      <c r="I90" s="2" t="s">
        <v>43</v>
      </c>
      <c r="J90" s="2" t="s">
        <v>45</v>
      </c>
      <c r="K90" s="2" t="s">
        <v>46</v>
      </c>
      <c r="L90" s="2"/>
      <c r="M90" s="8" t="s">
        <v>632</v>
      </c>
    </row>
    <row r="91">
      <c r="A91" s="6"/>
      <c r="B91" s="13" t="s">
        <v>633</v>
      </c>
      <c r="C91" s="19" t="s">
        <v>634</v>
      </c>
      <c r="D91" s="2" t="s">
        <v>31</v>
      </c>
      <c r="E91" s="6" t="s">
        <v>270</v>
      </c>
      <c r="F91" s="2" t="s">
        <v>39</v>
      </c>
      <c r="G91" s="2" t="s">
        <v>21</v>
      </c>
      <c r="H91" s="2" t="s">
        <v>42</v>
      </c>
      <c r="I91" s="2" t="s">
        <v>43</v>
      </c>
      <c r="J91" s="2" t="s">
        <v>45</v>
      </c>
      <c r="K91" s="2" t="s">
        <v>46</v>
      </c>
      <c r="L91" s="2"/>
      <c r="M91" s="8" t="s">
        <v>635</v>
      </c>
    </row>
    <row r="92">
      <c r="A92" s="6"/>
      <c r="B92" s="13" t="s">
        <v>636</v>
      </c>
      <c r="C92" s="19" t="s">
        <v>637</v>
      </c>
      <c r="D92" s="2" t="s">
        <v>31</v>
      </c>
      <c r="E92" s="6" t="s">
        <v>142</v>
      </c>
      <c r="F92" s="2" t="s">
        <v>39</v>
      </c>
      <c r="G92" s="2" t="s">
        <v>21</v>
      </c>
      <c r="H92" s="2" t="s">
        <v>42</v>
      </c>
      <c r="I92" s="2" t="s">
        <v>43</v>
      </c>
      <c r="J92" s="2" t="s">
        <v>45</v>
      </c>
      <c r="K92" s="2" t="s">
        <v>46</v>
      </c>
      <c r="L92" s="2"/>
      <c r="M92" s="8" t="s">
        <v>638</v>
      </c>
    </row>
    <row r="93">
      <c r="A93" s="6"/>
      <c r="B93" s="13" t="s">
        <v>639</v>
      </c>
      <c r="C93" s="19" t="s">
        <v>640</v>
      </c>
      <c r="D93" s="2" t="s">
        <v>31</v>
      </c>
      <c r="E93" s="6" t="s">
        <v>148</v>
      </c>
      <c r="F93" s="2" t="s">
        <v>39</v>
      </c>
      <c r="G93" s="2" t="s">
        <v>21</v>
      </c>
      <c r="H93" s="2" t="s">
        <v>42</v>
      </c>
      <c r="I93" s="2" t="s">
        <v>43</v>
      </c>
      <c r="J93" s="2" t="s">
        <v>45</v>
      </c>
      <c r="K93" s="2" t="s">
        <v>46</v>
      </c>
      <c r="L93" s="2"/>
      <c r="M93" s="8" t="s">
        <v>641</v>
      </c>
    </row>
    <row r="94">
      <c r="A94" s="6"/>
      <c r="B94" s="13" t="s">
        <v>642</v>
      </c>
      <c r="C94" s="19" t="s">
        <v>643</v>
      </c>
      <c r="D94" s="2" t="s">
        <v>31</v>
      </c>
      <c r="E94" s="6" t="s">
        <v>411</v>
      </c>
      <c r="F94" s="2" t="s">
        <v>39</v>
      </c>
      <c r="G94" s="2" t="s">
        <v>21</v>
      </c>
      <c r="H94" s="2" t="s">
        <v>42</v>
      </c>
      <c r="I94" s="2" t="s">
        <v>43</v>
      </c>
      <c r="J94" s="2" t="s">
        <v>45</v>
      </c>
      <c r="K94" s="2" t="s">
        <v>46</v>
      </c>
      <c r="L94" s="2"/>
      <c r="M94" s="8" t="s">
        <v>644</v>
      </c>
    </row>
    <row r="95">
      <c r="A95" s="6"/>
      <c r="B95" s="13" t="s">
        <v>645</v>
      </c>
      <c r="C95" s="19" t="s">
        <v>646</v>
      </c>
      <c r="D95" s="2" t="s">
        <v>31</v>
      </c>
      <c r="E95" s="6" t="s">
        <v>258</v>
      </c>
      <c r="F95" s="2" t="s">
        <v>39</v>
      </c>
      <c r="G95" s="2" t="s">
        <v>21</v>
      </c>
      <c r="H95" s="2" t="s">
        <v>42</v>
      </c>
      <c r="I95" s="2" t="s">
        <v>43</v>
      </c>
      <c r="J95" s="2" t="s">
        <v>45</v>
      </c>
      <c r="K95" s="2" t="s">
        <v>46</v>
      </c>
      <c r="L95" s="2"/>
      <c r="M95" s="8" t="s">
        <v>647</v>
      </c>
    </row>
    <row r="96">
      <c r="A96" s="6"/>
      <c r="B96" s="13" t="s">
        <v>648</v>
      </c>
      <c r="C96" s="19" t="s">
        <v>649</v>
      </c>
      <c r="D96" s="2" t="s">
        <v>31</v>
      </c>
      <c r="E96" s="6" t="s">
        <v>231</v>
      </c>
      <c r="F96" s="2" t="s">
        <v>39</v>
      </c>
      <c r="G96" s="2" t="s">
        <v>21</v>
      </c>
      <c r="H96" s="2" t="s">
        <v>42</v>
      </c>
      <c r="I96" s="2" t="s">
        <v>43</v>
      </c>
      <c r="J96" s="2" t="s">
        <v>45</v>
      </c>
      <c r="K96" s="2" t="s">
        <v>46</v>
      </c>
      <c r="L96" s="2"/>
      <c r="M96" s="8" t="s">
        <v>650</v>
      </c>
    </row>
    <row r="97">
      <c r="A97" s="6"/>
      <c r="B97" s="13" t="s">
        <v>651</v>
      </c>
      <c r="C97" s="19" t="s">
        <v>652</v>
      </c>
      <c r="D97" s="2" t="s">
        <v>31</v>
      </c>
      <c r="E97" s="6" t="s">
        <v>291</v>
      </c>
      <c r="F97" s="2" t="s">
        <v>39</v>
      </c>
      <c r="G97" s="2" t="s">
        <v>21</v>
      </c>
      <c r="H97" s="2" t="s">
        <v>42</v>
      </c>
      <c r="I97" s="2" t="s">
        <v>43</v>
      </c>
      <c r="J97" s="2" t="s">
        <v>45</v>
      </c>
      <c r="K97" s="2" t="s">
        <v>46</v>
      </c>
      <c r="L97" s="2"/>
      <c r="M97" s="8" t="s">
        <v>653</v>
      </c>
    </row>
    <row r="98">
      <c r="A98" s="6"/>
      <c r="B98" s="13" t="s">
        <v>654</v>
      </c>
      <c r="C98" s="19" t="s">
        <v>655</v>
      </c>
      <c r="D98" s="2" t="s">
        <v>31</v>
      </c>
      <c r="E98" s="6" t="s">
        <v>155</v>
      </c>
      <c r="F98" s="2" t="s">
        <v>39</v>
      </c>
      <c r="G98" s="2" t="s">
        <v>21</v>
      </c>
      <c r="H98" s="2" t="s">
        <v>42</v>
      </c>
      <c r="I98" s="2" t="s">
        <v>43</v>
      </c>
      <c r="J98" s="2" t="s">
        <v>45</v>
      </c>
      <c r="K98" s="2" t="s">
        <v>46</v>
      </c>
      <c r="L98" s="2"/>
      <c r="M98" s="8" t="s">
        <v>656</v>
      </c>
    </row>
    <row r="99">
      <c r="A99" s="6"/>
      <c r="B99" s="13" t="s">
        <v>657</v>
      </c>
      <c r="C99" s="19" t="s">
        <v>658</v>
      </c>
      <c r="D99" s="2" t="s">
        <v>31</v>
      </c>
      <c r="E99" s="6" t="s">
        <v>415</v>
      </c>
      <c r="F99" s="2" t="s">
        <v>39</v>
      </c>
      <c r="G99" s="2" t="s">
        <v>21</v>
      </c>
      <c r="H99" s="2" t="s">
        <v>42</v>
      </c>
      <c r="I99" s="2" t="s">
        <v>43</v>
      </c>
      <c r="J99" s="2" t="s">
        <v>45</v>
      </c>
      <c r="K99" s="2" t="s">
        <v>46</v>
      </c>
      <c r="L99" s="2"/>
      <c r="M99" s="8" t="s">
        <v>659</v>
      </c>
    </row>
    <row r="100">
      <c r="A100" s="6"/>
      <c r="B100" s="13" t="s">
        <v>660</v>
      </c>
      <c r="C100" s="19" t="s">
        <v>661</v>
      </c>
      <c r="D100" s="2" t="s">
        <v>31</v>
      </c>
      <c r="E100" s="6" t="s">
        <v>422</v>
      </c>
      <c r="F100" s="2" t="s">
        <v>39</v>
      </c>
      <c r="G100" s="2" t="s">
        <v>21</v>
      </c>
      <c r="H100" s="2" t="s">
        <v>42</v>
      </c>
      <c r="I100" s="2" t="s">
        <v>43</v>
      </c>
      <c r="J100" s="2" t="s">
        <v>45</v>
      </c>
      <c r="K100" s="2" t="s">
        <v>46</v>
      </c>
      <c r="L100" s="2"/>
      <c r="M100" s="8" t="s">
        <v>662</v>
      </c>
    </row>
    <row r="101">
      <c r="A101" s="6"/>
      <c r="B101" s="13" t="s">
        <v>663</v>
      </c>
      <c r="C101" s="19" t="s">
        <v>664</v>
      </c>
      <c r="D101" s="2" t="s">
        <v>31</v>
      </c>
      <c r="E101" s="6" t="s">
        <v>193</v>
      </c>
      <c r="F101" s="2" t="s">
        <v>39</v>
      </c>
      <c r="G101" s="2" t="s">
        <v>21</v>
      </c>
      <c r="H101" s="2" t="s">
        <v>42</v>
      </c>
      <c r="I101" s="2" t="s">
        <v>43</v>
      </c>
      <c r="J101" s="2" t="s">
        <v>45</v>
      </c>
      <c r="K101" s="2" t="s">
        <v>46</v>
      </c>
      <c r="L101" s="2"/>
      <c r="M101" s="8" t="s">
        <v>665</v>
      </c>
    </row>
    <row r="102">
      <c r="A102" s="6"/>
      <c r="B102" s="13" t="s">
        <v>666</v>
      </c>
      <c r="C102" s="19" t="s">
        <v>667</v>
      </c>
      <c r="D102" s="2" t="s">
        <v>31</v>
      </c>
      <c r="E102" s="6" t="s">
        <v>210</v>
      </c>
      <c r="F102" s="2" t="s">
        <v>39</v>
      </c>
      <c r="G102" s="2" t="s">
        <v>21</v>
      </c>
      <c r="H102" s="2" t="s">
        <v>42</v>
      </c>
      <c r="I102" s="2" t="s">
        <v>43</v>
      </c>
      <c r="J102" s="2" t="s">
        <v>45</v>
      </c>
      <c r="K102" s="2" t="s">
        <v>46</v>
      </c>
      <c r="L102" s="2"/>
      <c r="M102" s="8" t="s">
        <v>668</v>
      </c>
    </row>
    <row r="103">
      <c r="A103" s="6"/>
      <c r="B103" s="13" t="s">
        <v>669</v>
      </c>
      <c r="C103" s="19" t="s">
        <v>670</v>
      </c>
      <c r="D103" s="2" t="s">
        <v>31</v>
      </c>
      <c r="E103" s="6" t="s">
        <v>283</v>
      </c>
      <c r="F103" s="2" t="s">
        <v>39</v>
      </c>
      <c r="G103" s="2" t="s">
        <v>21</v>
      </c>
      <c r="H103" s="2" t="s">
        <v>42</v>
      </c>
      <c r="I103" s="2" t="s">
        <v>43</v>
      </c>
      <c r="J103" s="2" t="s">
        <v>45</v>
      </c>
      <c r="K103" s="2" t="s">
        <v>46</v>
      </c>
      <c r="L103" s="2"/>
      <c r="M103" s="8" t="s">
        <v>671</v>
      </c>
    </row>
    <row r="104">
      <c r="A104" s="6"/>
      <c r="B104" s="13" t="s">
        <v>672</v>
      </c>
      <c r="C104" s="19" t="s">
        <v>673</v>
      </c>
      <c r="D104" s="2" t="s">
        <v>31</v>
      </c>
      <c r="E104" s="6" t="s">
        <v>480</v>
      </c>
      <c r="F104" s="2" t="s">
        <v>39</v>
      </c>
      <c r="G104" s="2" t="s">
        <v>21</v>
      </c>
      <c r="H104" s="2" t="s">
        <v>42</v>
      </c>
      <c r="I104" s="2" t="s">
        <v>43</v>
      </c>
      <c r="J104" s="2" t="s">
        <v>45</v>
      </c>
      <c r="K104" s="2" t="s">
        <v>46</v>
      </c>
      <c r="L104" s="2"/>
      <c r="M104" s="8" t="s">
        <v>674</v>
      </c>
    </row>
    <row r="105">
      <c r="A105" s="6"/>
      <c r="B105" s="13" t="s">
        <v>675</v>
      </c>
      <c r="C105" s="19" t="s">
        <v>676</v>
      </c>
      <c r="D105" s="2" t="s">
        <v>31</v>
      </c>
      <c r="E105" s="6" t="s">
        <v>200</v>
      </c>
      <c r="F105" s="2" t="s">
        <v>39</v>
      </c>
      <c r="G105" s="2" t="s">
        <v>21</v>
      </c>
      <c r="H105" s="2" t="s">
        <v>42</v>
      </c>
      <c r="I105" s="2" t="s">
        <v>43</v>
      </c>
      <c r="J105" s="2" t="s">
        <v>45</v>
      </c>
      <c r="K105" s="2" t="s">
        <v>46</v>
      </c>
      <c r="L105" s="2"/>
      <c r="M105" s="8" t="s">
        <v>677</v>
      </c>
    </row>
    <row r="106">
      <c r="A106" s="6"/>
      <c r="B106" s="13" t="s">
        <v>678</v>
      </c>
      <c r="C106" s="19" t="s">
        <v>679</v>
      </c>
      <c r="D106" s="2" t="s">
        <v>31</v>
      </c>
      <c r="E106" s="6" t="s">
        <v>680</v>
      </c>
      <c r="F106" s="2" t="s">
        <v>39</v>
      </c>
      <c r="G106" s="2" t="s">
        <v>21</v>
      </c>
      <c r="H106" s="2" t="s">
        <v>42</v>
      </c>
      <c r="I106" s="2" t="s">
        <v>43</v>
      </c>
      <c r="J106" s="2" t="s">
        <v>45</v>
      </c>
      <c r="K106" s="2" t="s">
        <v>46</v>
      </c>
      <c r="L106" s="2"/>
      <c r="M106" s="8" t="s">
        <v>681</v>
      </c>
    </row>
    <row r="107">
      <c r="A107" s="6"/>
      <c r="B107" s="13" t="s">
        <v>682</v>
      </c>
      <c r="C107" s="19" t="s">
        <v>683</v>
      </c>
      <c r="D107" s="2" t="s">
        <v>31</v>
      </c>
      <c r="E107" s="6" t="s">
        <v>367</v>
      </c>
      <c r="F107" s="2" t="s">
        <v>39</v>
      </c>
      <c r="G107" s="2" t="s">
        <v>21</v>
      </c>
      <c r="H107" s="2" t="s">
        <v>42</v>
      </c>
      <c r="I107" s="2" t="s">
        <v>43</v>
      </c>
      <c r="J107" s="2" t="s">
        <v>45</v>
      </c>
      <c r="K107" s="2" t="s">
        <v>46</v>
      </c>
      <c r="L107" s="2"/>
      <c r="M107" s="8" t="s">
        <v>684</v>
      </c>
    </row>
    <row r="108">
      <c r="A108" s="6"/>
      <c r="B108" s="13" t="s">
        <v>685</v>
      </c>
      <c r="C108" s="19" t="s">
        <v>686</v>
      </c>
      <c r="D108" s="2" t="s">
        <v>31</v>
      </c>
      <c r="E108" s="6" t="s">
        <v>464</v>
      </c>
      <c r="F108" s="2" t="s">
        <v>39</v>
      </c>
      <c r="G108" s="2" t="s">
        <v>21</v>
      </c>
      <c r="H108" s="2" t="s">
        <v>42</v>
      </c>
      <c r="I108" s="2" t="s">
        <v>43</v>
      </c>
      <c r="J108" s="2" t="s">
        <v>45</v>
      </c>
      <c r="K108" s="2" t="s">
        <v>46</v>
      </c>
      <c r="L108" s="2"/>
      <c r="M108" s="8" t="s">
        <v>687</v>
      </c>
    </row>
    <row r="109">
      <c r="A109" s="6"/>
      <c r="B109" s="13" t="s">
        <v>688</v>
      </c>
      <c r="C109" s="19" t="s">
        <v>689</v>
      </c>
      <c r="D109" s="2" t="s">
        <v>31</v>
      </c>
      <c r="E109" s="6" t="s">
        <v>429</v>
      </c>
      <c r="F109" s="2" t="s">
        <v>39</v>
      </c>
      <c r="G109" s="2" t="s">
        <v>21</v>
      </c>
      <c r="H109" s="2" t="s">
        <v>42</v>
      </c>
      <c r="I109" s="2" t="s">
        <v>43</v>
      </c>
      <c r="J109" s="2" t="s">
        <v>45</v>
      </c>
      <c r="K109" s="2" t="s">
        <v>46</v>
      </c>
      <c r="L109" s="2"/>
      <c r="M109" s="8" t="s">
        <v>690</v>
      </c>
    </row>
    <row r="110">
      <c r="A110" s="6"/>
      <c r="B110" s="13" t="s">
        <v>691</v>
      </c>
      <c r="C110" s="19" t="s">
        <v>692</v>
      </c>
      <c r="D110" s="2" t="s">
        <v>31</v>
      </c>
      <c r="E110" s="6" t="s">
        <v>372</v>
      </c>
      <c r="F110" s="2" t="s">
        <v>39</v>
      </c>
      <c r="G110" s="2" t="s">
        <v>21</v>
      </c>
      <c r="H110" s="2" t="s">
        <v>42</v>
      </c>
      <c r="I110" s="2" t="s">
        <v>43</v>
      </c>
      <c r="J110" s="2" t="s">
        <v>45</v>
      </c>
      <c r="K110" s="2" t="s">
        <v>46</v>
      </c>
      <c r="L110" s="2"/>
      <c r="M110" s="8" t="s">
        <v>693</v>
      </c>
    </row>
    <row r="111">
      <c r="A111" s="6"/>
      <c r="B111" s="13" t="s">
        <v>694</v>
      </c>
      <c r="C111" s="19" t="s">
        <v>695</v>
      </c>
      <c r="D111" s="2" t="s">
        <v>31</v>
      </c>
      <c r="E111" s="6" t="s">
        <v>401</v>
      </c>
      <c r="F111" s="2" t="s">
        <v>39</v>
      </c>
      <c r="G111" s="2" t="s">
        <v>21</v>
      </c>
      <c r="H111" s="2" t="s">
        <v>42</v>
      </c>
      <c r="I111" s="2" t="s">
        <v>43</v>
      </c>
      <c r="J111" s="2" t="s">
        <v>45</v>
      </c>
      <c r="K111" s="2" t="s">
        <v>46</v>
      </c>
      <c r="L111" s="2"/>
      <c r="M111" s="8" t="s">
        <v>696</v>
      </c>
    </row>
    <row r="112">
      <c r="A112" s="6"/>
      <c r="B112" s="13" t="s">
        <v>697</v>
      </c>
      <c r="C112" s="19" t="s">
        <v>698</v>
      </c>
      <c r="D112" s="2" t="s">
        <v>31</v>
      </c>
      <c r="E112" s="6" t="s">
        <v>699</v>
      </c>
      <c r="F112" s="2" t="s">
        <v>39</v>
      </c>
      <c r="G112" s="2" t="s">
        <v>21</v>
      </c>
      <c r="H112" s="2" t="s">
        <v>42</v>
      </c>
      <c r="I112" s="2" t="s">
        <v>43</v>
      </c>
      <c r="J112" s="2" t="s">
        <v>45</v>
      </c>
      <c r="K112" s="2" t="s">
        <v>46</v>
      </c>
      <c r="L112" s="2"/>
      <c r="M112" s="8" t="s">
        <v>700</v>
      </c>
    </row>
    <row r="113">
      <c r="A113" s="6"/>
      <c r="B113" s="13" t="s">
        <v>701</v>
      </c>
      <c r="C113" s="19" t="s">
        <v>702</v>
      </c>
      <c r="D113" s="2" t="s">
        <v>31</v>
      </c>
      <c r="E113" s="6" t="s">
        <v>457</v>
      </c>
      <c r="F113" s="2" t="s">
        <v>39</v>
      </c>
      <c r="G113" s="2" t="s">
        <v>21</v>
      </c>
      <c r="H113" s="2" t="s">
        <v>42</v>
      </c>
      <c r="I113" s="2" t="s">
        <v>43</v>
      </c>
      <c r="J113" s="2" t="s">
        <v>45</v>
      </c>
      <c r="K113" s="2" t="s">
        <v>46</v>
      </c>
      <c r="L113" s="2"/>
      <c r="M113" s="8" t="s">
        <v>703</v>
      </c>
    </row>
    <row r="114">
      <c r="A114" s="6"/>
      <c r="B114" s="13" t="s">
        <v>704</v>
      </c>
      <c r="C114" s="19" t="s">
        <v>705</v>
      </c>
      <c r="D114" s="2" t="s">
        <v>31</v>
      </c>
      <c r="E114" s="6" t="s">
        <v>706</v>
      </c>
      <c r="F114" s="2" t="s">
        <v>39</v>
      </c>
      <c r="G114" s="2" t="s">
        <v>21</v>
      </c>
      <c r="H114" s="2" t="s">
        <v>42</v>
      </c>
      <c r="I114" s="2" t="s">
        <v>43</v>
      </c>
      <c r="J114" s="2" t="s">
        <v>45</v>
      </c>
      <c r="K114" s="2" t="s">
        <v>46</v>
      </c>
      <c r="L114" s="2"/>
      <c r="M114" s="8" t="s">
        <v>707</v>
      </c>
    </row>
    <row r="115">
      <c r="A115" s="6"/>
      <c r="B115" s="13" t="s">
        <v>708</v>
      </c>
      <c r="C115" s="19" t="s">
        <v>709</v>
      </c>
      <c r="D115" s="2" t="s">
        <v>31</v>
      </c>
      <c r="E115" s="6" t="s">
        <v>341</v>
      </c>
      <c r="F115" s="2" t="s">
        <v>39</v>
      </c>
      <c r="G115" s="2" t="s">
        <v>21</v>
      </c>
      <c r="H115" s="2" t="s">
        <v>42</v>
      </c>
      <c r="I115" s="2" t="s">
        <v>43</v>
      </c>
      <c r="J115" s="2" t="s">
        <v>45</v>
      </c>
      <c r="K115" s="2" t="s">
        <v>46</v>
      </c>
      <c r="L115" s="2"/>
      <c r="M115" s="8" t="s">
        <v>710</v>
      </c>
    </row>
    <row r="116">
      <c r="A116" s="6"/>
      <c r="B116" s="13" t="s">
        <v>711</v>
      </c>
      <c r="C116" s="19" t="s">
        <v>712</v>
      </c>
      <c r="D116" s="2" t="s">
        <v>31</v>
      </c>
      <c r="E116" s="6" t="s">
        <v>178</v>
      </c>
      <c r="F116" s="2" t="s">
        <v>39</v>
      </c>
      <c r="G116" s="2" t="s">
        <v>21</v>
      </c>
      <c r="H116" s="2" t="s">
        <v>42</v>
      </c>
      <c r="I116" s="2" t="s">
        <v>43</v>
      </c>
      <c r="J116" s="2" t="s">
        <v>45</v>
      </c>
      <c r="K116" s="2" t="s">
        <v>46</v>
      </c>
      <c r="L116" s="2"/>
      <c r="M116" s="8" t="s">
        <v>713</v>
      </c>
    </row>
    <row r="117">
      <c r="A117" s="6"/>
      <c r="B117" s="13" t="s">
        <v>714</v>
      </c>
      <c r="C117" s="19" t="s">
        <v>715</v>
      </c>
      <c r="D117" s="2" t="s">
        <v>31</v>
      </c>
      <c r="E117" s="6" t="s">
        <v>184</v>
      </c>
      <c r="F117" s="2" t="s">
        <v>39</v>
      </c>
      <c r="G117" s="2" t="s">
        <v>21</v>
      </c>
      <c r="H117" s="2" t="s">
        <v>42</v>
      </c>
      <c r="I117" s="2" t="s">
        <v>43</v>
      </c>
      <c r="J117" s="2" t="s">
        <v>45</v>
      </c>
      <c r="K117" s="2" t="s">
        <v>46</v>
      </c>
      <c r="L117" s="2"/>
      <c r="M117" s="8" t="s">
        <v>716</v>
      </c>
    </row>
    <row r="118">
      <c r="A118" s="6"/>
      <c r="B118" s="13" t="s">
        <v>717</v>
      </c>
      <c r="C118" s="19" t="s">
        <v>718</v>
      </c>
      <c r="D118" s="2" t="s">
        <v>31</v>
      </c>
      <c r="E118" s="6" t="s">
        <v>86</v>
      </c>
      <c r="F118" s="2" t="s">
        <v>39</v>
      </c>
      <c r="G118" s="2" t="s">
        <v>21</v>
      </c>
      <c r="H118" s="2" t="s">
        <v>42</v>
      </c>
      <c r="I118" s="2" t="s">
        <v>43</v>
      </c>
      <c r="J118" s="2" t="s">
        <v>45</v>
      </c>
      <c r="K118" s="2" t="s">
        <v>46</v>
      </c>
      <c r="L118" s="2"/>
      <c r="M118" s="8" t="s">
        <v>719</v>
      </c>
    </row>
    <row r="119">
      <c r="A119" s="6"/>
      <c r="B119" s="13" t="s">
        <v>720</v>
      </c>
      <c r="C119" s="19" t="s">
        <v>721</v>
      </c>
      <c r="D119" s="2" t="s">
        <v>31</v>
      </c>
      <c r="E119" s="6" t="s">
        <v>56</v>
      </c>
      <c r="F119" s="2" t="s">
        <v>39</v>
      </c>
      <c r="G119" s="2" t="s">
        <v>21</v>
      </c>
      <c r="H119" s="2" t="s">
        <v>42</v>
      </c>
      <c r="I119" s="2" t="s">
        <v>43</v>
      </c>
      <c r="J119" s="2" t="s">
        <v>45</v>
      </c>
      <c r="K119" s="2" t="s">
        <v>46</v>
      </c>
      <c r="L119" s="2"/>
      <c r="M119" s="8" t="s">
        <v>722</v>
      </c>
    </row>
    <row r="120">
      <c r="A120" s="6"/>
      <c r="B120" s="13" t="s">
        <v>724</v>
      </c>
      <c r="C120" s="19" t="s">
        <v>725</v>
      </c>
      <c r="D120" s="2" t="s">
        <v>31</v>
      </c>
      <c r="E120" s="6" t="s">
        <v>63</v>
      </c>
      <c r="F120" s="2" t="s">
        <v>39</v>
      </c>
      <c r="G120" s="2" t="s">
        <v>21</v>
      </c>
      <c r="H120" s="2" t="s">
        <v>42</v>
      </c>
      <c r="I120" s="2" t="s">
        <v>43</v>
      </c>
      <c r="J120" s="2" t="s">
        <v>45</v>
      </c>
      <c r="K120" s="2" t="s">
        <v>46</v>
      </c>
      <c r="L120" s="2"/>
      <c r="M120" s="8" t="s">
        <v>733</v>
      </c>
    </row>
    <row r="121">
      <c r="A121" s="6"/>
      <c r="B121" s="13" t="s">
        <v>735</v>
      </c>
      <c r="C121" s="19" t="s">
        <v>736</v>
      </c>
      <c r="D121" s="2" t="s">
        <v>31</v>
      </c>
      <c r="E121" s="6" t="s">
        <v>69</v>
      </c>
      <c r="F121" s="2" t="s">
        <v>39</v>
      </c>
      <c r="G121" s="2" t="s">
        <v>21</v>
      </c>
      <c r="H121" s="2" t="s">
        <v>42</v>
      </c>
      <c r="I121" s="2" t="s">
        <v>43</v>
      </c>
      <c r="J121" s="2" t="s">
        <v>45</v>
      </c>
      <c r="K121" s="2" t="s">
        <v>46</v>
      </c>
      <c r="L121" s="2"/>
      <c r="M121" s="8" t="s">
        <v>737</v>
      </c>
    </row>
    <row r="122">
      <c r="A122" s="6"/>
      <c r="B122" s="13" t="s">
        <v>738</v>
      </c>
      <c r="C122" s="19" t="s">
        <v>739</v>
      </c>
      <c r="D122" s="2" t="s">
        <v>31</v>
      </c>
      <c r="E122" s="6" t="s">
        <v>740</v>
      </c>
      <c r="F122" s="2" t="s">
        <v>39</v>
      </c>
      <c r="G122" s="2" t="s">
        <v>21</v>
      </c>
      <c r="H122" s="2" t="s">
        <v>42</v>
      </c>
      <c r="I122" s="2" t="s">
        <v>43</v>
      </c>
      <c r="J122" s="2" t="s">
        <v>45</v>
      </c>
      <c r="K122" s="2" t="s">
        <v>46</v>
      </c>
      <c r="L122" s="2"/>
      <c r="M122" s="8" t="s">
        <v>741</v>
      </c>
    </row>
    <row r="123">
      <c r="A123" s="6"/>
      <c r="B123" s="13" t="s">
        <v>742</v>
      </c>
      <c r="C123" s="19" t="s">
        <v>743</v>
      </c>
      <c r="D123" s="2" t="s">
        <v>31</v>
      </c>
      <c r="E123" s="6" t="s">
        <v>92</v>
      </c>
      <c r="F123" s="2" t="s">
        <v>39</v>
      </c>
      <c r="G123" s="2" t="s">
        <v>21</v>
      </c>
      <c r="H123" s="2" t="s">
        <v>42</v>
      </c>
      <c r="I123" s="2" t="s">
        <v>43</v>
      </c>
      <c r="J123" s="2" t="s">
        <v>45</v>
      </c>
      <c r="K123" s="2" t="s">
        <v>46</v>
      </c>
      <c r="L123" s="2"/>
      <c r="M123" s="8" t="s">
        <v>744</v>
      </c>
    </row>
    <row r="124">
      <c r="A124" s="6"/>
      <c r="B124" s="13" t="s">
        <v>745</v>
      </c>
      <c r="C124" s="19" t="s">
        <v>746</v>
      </c>
      <c r="D124" s="2" t="s">
        <v>31</v>
      </c>
      <c r="E124" s="6" t="s">
        <v>747</v>
      </c>
      <c r="F124" s="2" t="s">
        <v>39</v>
      </c>
      <c r="G124" s="2" t="s">
        <v>21</v>
      </c>
      <c r="H124" s="2" t="s">
        <v>42</v>
      </c>
      <c r="I124" s="2" t="s">
        <v>43</v>
      </c>
      <c r="J124" s="2" t="s">
        <v>45</v>
      </c>
      <c r="K124" s="2" t="s">
        <v>46</v>
      </c>
      <c r="L124" s="2"/>
      <c r="M124" s="8" t="s">
        <v>748</v>
      </c>
    </row>
    <row r="125">
      <c r="A125" s="6"/>
      <c r="B125" s="13" t="s">
        <v>749</v>
      </c>
      <c r="C125" s="19" t="s">
        <v>750</v>
      </c>
      <c r="D125" s="2" t="s">
        <v>31</v>
      </c>
      <c r="E125" s="6" t="s">
        <v>251</v>
      </c>
      <c r="F125" s="2" t="s">
        <v>39</v>
      </c>
      <c r="G125" s="2" t="s">
        <v>21</v>
      </c>
      <c r="H125" s="2" t="s">
        <v>42</v>
      </c>
      <c r="I125" s="2" t="s">
        <v>43</v>
      </c>
      <c r="J125" s="2" t="s">
        <v>45</v>
      </c>
      <c r="K125" s="2" t="s">
        <v>46</v>
      </c>
      <c r="L125" s="2"/>
      <c r="M125" s="8" t="s">
        <v>751</v>
      </c>
    </row>
    <row r="126">
      <c r="A126" s="6"/>
      <c r="B126" s="13" t="s">
        <v>752</v>
      </c>
      <c r="C126" s="19" t="s">
        <v>753</v>
      </c>
      <c r="D126" s="2" t="s">
        <v>31</v>
      </c>
      <c r="E126" s="6" t="s">
        <v>240</v>
      </c>
      <c r="F126" s="2" t="s">
        <v>39</v>
      </c>
      <c r="G126" s="2" t="s">
        <v>21</v>
      </c>
      <c r="H126" s="2" t="s">
        <v>42</v>
      </c>
      <c r="I126" s="2" t="s">
        <v>43</v>
      </c>
      <c r="J126" s="2" t="s">
        <v>45</v>
      </c>
      <c r="K126" s="2" t="s">
        <v>46</v>
      </c>
      <c r="L126" s="2"/>
      <c r="M126" s="8" t="s">
        <v>754</v>
      </c>
    </row>
    <row r="127">
      <c r="A127" s="6"/>
      <c r="B127" s="13" t="s">
        <v>755</v>
      </c>
      <c r="C127" s="19" t="s">
        <v>756</v>
      </c>
      <c r="D127" s="2" t="s">
        <v>31</v>
      </c>
      <c r="E127" s="6" t="s">
        <v>233</v>
      </c>
      <c r="F127" s="2" t="s">
        <v>39</v>
      </c>
      <c r="G127" s="2" t="s">
        <v>21</v>
      </c>
      <c r="H127" s="2" t="s">
        <v>42</v>
      </c>
      <c r="I127" s="2" t="s">
        <v>43</v>
      </c>
      <c r="J127" s="2" t="s">
        <v>45</v>
      </c>
      <c r="K127" s="2" t="s">
        <v>46</v>
      </c>
      <c r="L127" s="2"/>
      <c r="M127" s="8" t="s">
        <v>757</v>
      </c>
    </row>
    <row r="128">
      <c r="A128" s="6"/>
      <c r="B128" s="13" t="s">
        <v>758</v>
      </c>
      <c r="C128" s="19" t="s">
        <v>759</v>
      </c>
      <c r="D128" s="2" t="s">
        <v>31</v>
      </c>
      <c r="E128" s="6" t="s">
        <v>113</v>
      </c>
      <c r="F128" s="2" t="s">
        <v>39</v>
      </c>
      <c r="G128" s="2" t="s">
        <v>21</v>
      </c>
      <c r="H128" s="2" t="s">
        <v>42</v>
      </c>
      <c r="I128" s="2" t="s">
        <v>43</v>
      </c>
      <c r="J128" s="2" t="s">
        <v>45</v>
      </c>
      <c r="K128" s="2" t="s">
        <v>46</v>
      </c>
      <c r="L128" s="2"/>
      <c r="M128" s="8" t="s">
        <v>760</v>
      </c>
    </row>
    <row r="129">
      <c r="A129" s="6"/>
      <c r="B129" s="13" t="s">
        <v>761</v>
      </c>
      <c r="C129" s="19" t="s">
        <v>762</v>
      </c>
      <c r="D129" s="2" t="s">
        <v>31</v>
      </c>
      <c r="E129" s="6" t="s">
        <v>238</v>
      </c>
      <c r="F129" s="2" t="s">
        <v>39</v>
      </c>
      <c r="G129" s="2" t="s">
        <v>21</v>
      </c>
      <c r="H129" s="2" t="s">
        <v>42</v>
      </c>
      <c r="I129" s="2" t="s">
        <v>43</v>
      </c>
      <c r="J129" s="2" t="s">
        <v>45</v>
      </c>
      <c r="K129" s="2" t="s">
        <v>46</v>
      </c>
      <c r="L129" s="2"/>
      <c r="M129" s="8" t="s">
        <v>763</v>
      </c>
    </row>
    <row r="130">
      <c r="A130" s="6"/>
      <c r="B130" s="13" t="s">
        <v>764</v>
      </c>
      <c r="C130" s="19" t="s">
        <v>765</v>
      </c>
      <c r="D130" s="2" t="s">
        <v>31</v>
      </c>
      <c r="E130" s="6" t="s">
        <v>351</v>
      </c>
      <c r="F130" s="2" t="s">
        <v>39</v>
      </c>
      <c r="G130" s="2" t="s">
        <v>21</v>
      </c>
      <c r="H130" s="2" t="s">
        <v>42</v>
      </c>
      <c r="I130" s="2" t="s">
        <v>43</v>
      </c>
      <c r="J130" s="2" t="s">
        <v>45</v>
      </c>
      <c r="K130" s="2" t="s">
        <v>46</v>
      </c>
      <c r="L130" s="2"/>
      <c r="M130" s="8" t="s">
        <v>766</v>
      </c>
    </row>
    <row r="131">
      <c r="A131" s="6"/>
      <c r="B131" s="13" t="s">
        <v>767</v>
      </c>
      <c r="C131" s="19" t="s">
        <v>768</v>
      </c>
      <c r="D131" s="2" t="s">
        <v>31</v>
      </c>
      <c r="E131" s="6" t="s">
        <v>130</v>
      </c>
      <c r="F131" s="2" t="s">
        <v>39</v>
      </c>
      <c r="G131" s="2" t="s">
        <v>21</v>
      </c>
      <c r="H131" s="2" t="s">
        <v>42</v>
      </c>
      <c r="I131" s="2" t="s">
        <v>43</v>
      </c>
      <c r="J131" s="2" t="s">
        <v>45</v>
      </c>
      <c r="K131" s="2" t="s">
        <v>46</v>
      </c>
      <c r="L131" s="2"/>
      <c r="M131" s="8" t="s">
        <v>769</v>
      </c>
    </row>
    <row r="132">
      <c r="A132" s="6"/>
      <c r="B132" s="13" t="s">
        <v>770</v>
      </c>
      <c r="C132" s="19" t="s">
        <v>771</v>
      </c>
      <c r="D132" s="2" t="s">
        <v>31</v>
      </c>
      <c r="E132" s="6" t="s">
        <v>357</v>
      </c>
      <c r="F132" s="2" t="s">
        <v>39</v>
      </c>
      <c r="G132" s="2" t="s">
        <v>21</v>
      </c>
      <c r="H132" s="2" t="s">
        <v>42</v>
      </c>
      <c r="I132" s="2" t="s">
        <v>43</v>
      </c>
      <c r="J132" s="2" t="s">
        <v>45</v>
      </c>
      <c r="K132" s="2" t="s">
        <v>46</v>
      </c>
      <c r="L132" s="2"/>
      <c r="M132" s="8" t="s">
        <v>772</v>
      </c>
    </row>
    <row r="133">
      <c r="A133" s="6"/>
      <c r="B133" s="13" t="s">
        <v>773</v>
      </c>
      <c r="C133" s="19" t="s">
        <v>774</v>
      </c>
      <c r="D133" s="2" t="s">
        <v>31</v>
      </c>
      <c r="E133" s="2" t="s">
        <v>279</v>
      </c>
      <c r="F133" s="2" t="s">
        <v>39</v>
      </c>
      <c r="G133" s="2" t="s">
        <v>21</v>
      </c>
      <c r="H133" s="2" t="s">
        <v>42</v>
      </c>
      <c r="I133" s="2" t="s">
        <v>43</v>
      </c>
      <c r="J133" s="2" t="s">
        <v>45</v>
      </c>
      <c r="K133" s="2" t="s">
        <v>46</v>
      </c>
      <c r="L133" s="2"/>
      <c r="M133" s="8" t="s">
        <v>775</v>
      </c>
    </row>
    <row r="134">
      <c r="A134" s="6"/>
      <c r="B134" s="13" t="s">
        <v>776</v>
      </c>
      <c r="C134" s="19" t="s">
        <v>777</v>
      </c>
      <c r="D134" s="2" t="s">
        <v>31</v>
      </c>
      <c r="E134" s="6" t="s">
        <v>181</v>
      </c>
      <c r="F134" s="2" t="s">
        <v>39</v>
      </c>
      <c r="G134" s="2" t="s">
        <v>21</v>
      </c>
      <c r="H134" s="2" t="s">
        <v>42</v>
      </c>
      <c r="I134" s="2" t="s">
        <v>43</v>
      </c>
      <c r="J134" s="2" t="s">
        <v>45</v>
      </c>
      <c r="K134" s="2" t="s">
        <v>46</v>
      </c>
      <c r="L134" s="2"/>
      <c r="M134" s="8" t="s">
        <v>778</v>
      </c>
    </row>
    <row r="135">
      <c r="A135" s="6"/>
      <c r="B135" s="13" t="s">
        <v>779</v>
      </c>
      <c r="C135" s="19" t="s">
        <v>780</v>
      </c>
      <c r="D135" s="2" t="s">
        <v>31</v>
      </c>
      <c r="E135" s="6" t="s">
        <v>781</v>
      </c>
      <c r="F135" s="2" t="s">
        <v>39</v>
      </c>
      <c r="G135" s="2" t="s">
        <v>21</v>
      </c>
      <c r="H135" s="2" t="s">
        <v>42</v>
      </c>
      <c r="I135" s="2" t="s">
        <v>43</v>
      </c>
      <c r="J135" s="2" t="s">
        <v>45</v>
      </c>
      <c r="K135" s="2" t="s">
        <v>46</v>
      </c>
      <c r="L135" s="2"/>
      <c r="M135" s="8" t="s">
        <v>782</v>
      </c>
    </row>
    <row r="136">
      <c r="A136" s="6"/>
      <c r="B136" s="13" t="s">
        <v>783</v>
      </c>
      <c r="C136" s="19" t="s">
        <v>784</v>
      </c>
      <c r="D136" s="2" t="s">
        <v>31</v>
      </c>
      <c r="E136" s="6" t="s">
        <v>785</v>
      </c>
      <c r="F136" s="2" t="s">
        <v>39</v>
      </c>
      <c r="G136" s="2" t="s">
        <v>21</v>
      </c>
      <c r="H136" s="2" t="s">
        <v>42</v>
      </c>
      <c r="I136" s="2" t="s">
        <v>43</v>
      </c>
      <c r="J136" s="2" t="s">
        <v>45</v>
      </c>
      <c r="K136" s="2" t="s">
        <v>46</v>
      </c>
      <c r="L136" s="2"/>
      <c r="M136" s="8" t="s">
        <v>786</v>
      </c>
    </row>
    <row r="137">
      <c r="A137" s="6"/>
      <c r="B137" s="13" t="s">
        <v>787</v>
      </c>
      <c r="C137" s="19" t="s">
        <v>788</v>
      </c>
      <c r="D137" s="2" t="s">
        <v>31</v>
      </c>
      <c r="E137" s="6" t="s">
        <v>311</v>
      </c>
      <c r="F137" s="2" t="s">
        <v>39</v>
      </c>
      <c r="G137" s="2" t="s">
        <v>21</v>
      </c>
      <c r="H137" s="2" t="s">
        <v>42</v>
      </c>
      <c r="I137" s="2" t="s">
        <v>43</v>
      </c>
      <c r="J137" s="2" t="s">
        <v>45</v>
      </c>
      <c r="K137" s="2" t="s">
        <v>46</v>
      </c>
      <c r="L137" s="2"/>
      <c r="M137" s="8" t="s">
        <v>789</v>
      </c>
    </row>
    <row r="138">
      <c r="A138" s="6"/>
      <c r="B138" s="13" t="s">
        <v>790</v>
      </c>
      <c r="C138" s="19" t="s">
        <v>791</v>
      </c>
      <c r="D138" s="2" t="s">
        <v>31</v>
      </c>
      <c r="E138" s="6" t="s">
        <v>228</v>
      </c>
      <c r="F138" s="2" t="s">
        <v>39</v>
      </c>
      <c r="G138" s="2" t="s">
        <v>21</v>
      </c>
      <c r="H138" s="2" t="s">
        <v>42</v>
      </c>
      <c r="I138" s="2" t="s">
        <v>43</v>
      </c>
      <c r="J138" s="2" t="s">
        <v>45</v>
      </c>
      <c r="K138" s="2" t="s">
        <v>46</v>
      </c>
      <c r="L138" s="2"/>
      <c r="M138" s="8" t="s">
        <v>792</v>
      </c>
    </row>
    <row r="139">
      <c r="A139" s="6"/>
      <c r="B139" s="13" t="s">
        <v>793</v>
      </c>
      <c r="C139" s="19" t="s">
        <v>794</v>
      </c>
      <c r="D139" s="2" t="s">
        <v>31</v>
      </c>
      <c r="E139" s="6" t="s">
        <v>795</v>
      </c>
      <c r="F139" s="2" t="s">
        <v>39</v>
      </c>
      <c r="G139" s="2" t="s">
        <v>21</v>
      </c>
      <c r="H139" s="2" t="s">
        <v>42</v>
      </c>
      <c r="I139" s="2" t="s">
        <v>43</v>
      </c>
      <c r="J139" s="2" t="s">
        <v>45</v>
      </c>
      <c r="K139" s="2" t="s">
        <v>46</v>
      </c>
      <c r="L139" s="2"/>
      <c r="M139" s="8" t="s">
        <v>796</v>
      </c>
    </row>
    <row r="140">
      <c r="A140" s="6"/>
      <c r="B140" s="13" t="s">
        <v>797</v>
      </c>
      <c r="C140" s="19" t="s">
        <v>798</v>
      </c>
      <c r="D140" s="2" t="s">
        <v>31</v>
      </c>
      <c r="E140" s="6" t="s">
        <v>218</v>
      </c>
      <c r="F140" s="2" t="s">
        <v>39</v>
      </c>
      <c r="G140" s="2" t="s">
        <v>21</v>
      </c>
      <c r="H140" s="2" t="s">
        <v>42</v>
      </c>
      <c r="I140" s="2" t="s">
        <v>43</v>
      </c>
      <c r="J140" s="2" t="s">
        <v>45</v>
      </c>
      <c r="K140" s="2" t="s">
        <v>46</v>
      </c>
      <c r="L140" s="2"/>
      <c r="M140" s="8" t="s">
        <v>799</v>
      </c>
    </row>
    <row r="141">
      <c r="A141" s="6"/>
      <c r="B141" s="13" t="s">
        <v>800</v>
      </c>
      <c r="C141" s="19" t="s">
        <v>801</v>
      </c>
      <c r="D141" s="2" t="s">
        <v>31</v>
      </c>
      <c r="E141" s="6" t="s">
        <v>211</v>
      </c>
      <c r="F141" s="2" t="s">
        <v>39</v>
      </c>
      <c r="G141" s="2" t="s">
        <v>21</v>
      </c>
      <c r="H141" s="2" t="s">
        <v>42</v>
      </c>
      <c r="I141" s="2" t="s">
        <v>43</v>
      </c>
      <c r="J141" s="2" t="s">
        <v>45</v>
      </c>
      <c r="K141" s="2" t="s">
        <v>46</v>
      </c>
      <c r="L141" s="2"/>
      <c r="M141" s="8" t="s">
        <v>802</v>
      </c>
    </row>
    <row r="142">
      <c r="A142" s="6"/>
      <c r="B142" s="13" t="s">
        <v>803</v>
      </c>
      <c r="C142" s="19" t="s">
        <v>804</v>
      </c>
      <c r="D142" s="2" t="s">
        <v>31</v>
      </c>
      <c r="E142" s="6" t="s">
        <v>95</v>
      </c>
      <c r="F142" s="2" t="s">
        <v>39</v>
      </c>
      <c r="G142" s="2" t="s">
        <v>21</v>
      </c>
      <c r="H142" s="2" t="s">
        <v>42</v>
      </c>
      <c r="I142" s="2" t="s">
        <v>43</v>
      </c>
      <c r="J142" s="2" t="s">
        <v>45</v>
      </c>
      <c r="K142" s="2" t="s">
        <v>46</v>
      </c>
      <c r="L142" s="2"/>
      <c r="M142" s="8" t="s">
        <v>805</v>
      </c>
    </row>
    <row r="143">
      <c r="A143" s="6"/>
      <c r="B143" s="13" t="s">
        <v>806</v>
      </c>
      <c r="C143" s="19" t="s">
        <v>807</v>
      </c>
      <c r="D143" s="2" t="s">
        <v>31</v>
      </c>
      <c r="E143" s="6" t="s">
        <v>322</v>
      </c>
      <c r="F143" s="2" t="s">
        <v>39</v>
      </c>
      <c r="G143" s="2" t="s">
        <v>21</v>
      </c>
      <c r="H143" s="2" t="s">
        <v>42</v>
      </c>
      <c r="I143" s="2" t="s">
        <v>43</v>
      </c>
      <c r="J143" s="2" t="s">
        <v>45</v>
      </c>
      <c r="K143" s="2" t="s">
        <v>46</v>
      </c>
      <c r="L143" s="2"/>
      <c r="M143" s="8" t="s">
        <v>808</v>
      </c>
    </row>
    <row r="144">
      <c r="A144" s="6"/>
      <c r="B144" s="13" t="s">
        <v>809</v>
      </c>
      <c r="C144" s="19" t="s">
        <v>810</v>
      </c>
      <c r="D144" s="2" t="s">
        <v>31</v>
      </c>
      <c r="E144" s="6" t="s">
        <v>190</v>
      </c>
      <c r="F144" s="2" t="s">
        <v>39</v>
      </c>
      <c r="G144" s="2" t="s">
        <v>21</v>
      </c>
      <c r="H144" s="2" t="s">
        <v>42</v>
      </c>
      <c r="I144" s="2" t="s">
        <v>43</v>
      </c>
      <c r="J144" s="2" t="s">
        <v>45</v>
      </c>
      <c r="K144" s="2" t="s">
        <v>46</v>
      </c>
      <c r="L144" s="2"/>
      <c r="M144" s="8" t="s">
        <v>811</v>
      </c>
    </row>
    <row r="145">
      <c r="A145" s="6"/>
      <c r="B145" s="13" t="s">
        <v>812</v>
      </c>
      <c r="C145" s="19" t="s">
        <v>813</v>
      </c>
      <c r="D145" s="2" t="s">
        <v>31</v>
      </c>
      <c r="E145" s="6" t="s">
        <v>222</v>
      </c>
      <c r="F145" s="2" t="s">
        <v>39</v>
      </c>
      <c r="G145" s="2" t="s">
        <v>21</v>
      </c>
      <c r="H145" s="2" t="s">
        <v>42</v>
      </c>
      <c r="I145" s="2" t="s">
        <v>43</v>
      </c>
      <c r="J145" s="2" t="s">
        <v>45</v>
      </c>
      <c r="K145" s="2" t="s">
        <v>46</v>
      </c>
      <c r="L145" s="2"/>
      <c r="M145" s="8" t="s">
        <v>814</v>
      </c>
    </row>
    <row r="146">
      <c r="A146" s="6"/>
      <c r="B146" s="13" t="s">
        <v>815</v>
      </c>
      <c r="C146" s="19" t="s">
        <v>816</v>
      </c>
      <c r="D146" s="2" t="s">
        <v>31</v>
      </c>
      <c r="E146" s="6" t="s">
        <v>338</v>
      </c>
      <c r="F146" s="2" t="s">
        <v>39</v>
      </c>
      <c r="G146" s="2" t="s">
        <v>21</v>
      </c>
      <c r="H146" s="2" t="s">
        <v>42</v>
      </c>
      <c r="I146" s="2" t="s">
        <v>43</v>
      </c>
      <c r="J146" s="2" t="s">
        <v>45</v>
      </c>
      <c r="K146" s="2" t="s">
        <v>46</v>
      </c>
      <c r="L146" s="2"/>
      <c r="M146" s="8" t="s">
        <v>817</v>
      </c>
    </row>
    <row r="147">
      <c r="A147" s="6"/>
      <c r="B147" s="13" t="s">
        <v>818</v>
      </c>
      <c r="C147" s="19" t="s">
        <v>819</v>
      </c>
      <c r="D147" s="2" t="s">
        <v>31</v>
      </c>
      <c r="E147" s="6" t="s">
        <v>301</v>
      </c>
      <c r="F147" s="2" t="s">
        <v>39</v>
      </c>
      <c r="G147" s="2" t="s">
        <v>21</v>
      </c>
      <c r="H147" s="2" t="s">
        <v>42</v>
      </c>
      <c r="I147" s="2" t="s">
        <v>43</v>
      </c>
      <c r="J147" s="2" t="s">
        <v>45</v>
      </c>
      <c r="K147" s="2" t="s">
        <v>46</v>
      </c>
      <c r="L147" s="2"/>
      <c r="M147" s="8" t="s">
        <v>820</v>
      </c>
    </row>
    <row r="148">
      <c r="A148" s="6"/>
      <c r="B148" s="13" t="s">
        <v>821</v>
      </c>
      <c r="C148" s="19" t="s">
        <v>822</v>
      </c>
      <c r="D148" s="2" t="s">
        <v>31</v>
      </c>
      <c r="E148" s="6" t="s">
        <v>823</v>
      </c>
      <c r="F148" s="2" t="s">
        <v>39</v>
      </c>
      <c r="G148" s="2" t="s">
        <v>21</v>
      </c>
      <c r="H148" s="2" t="s">
        <v>42</v>
      </c>
      <c r="I148" s="2" t="s">
        <v>43</v>
      </c>
      <c r="J148" s="2" t="s">
        <v>45</v>
      </c>
      <c r="K148" s="2" t="s">
        <v>46</v>
      </c>
      <c r="L148" s="2"/>
      <c r="M148" s="8" t="s">
        <v>824</v>
      </c>
    </row>
    <row r="149">
      <c r="A149" s="6"/>
      <c r="B149" s="13" t="s">
        <v>825</v>
      </c>
      <c r="C149" s="19" t="s">
        <v>826</v>
      </c>
      <c r="D149" s="2" t="s">
        <v>31</v>
      </c>
      <c r="E149" s="6" t="s">
        <v>161</v>
      </c>
      <c r="F149" s="2" t="s">
        <v>39</v>
      </c>
      <c r="G149" s="2" t="s">
        <v>21</v>
      </c>
      <c r="H149" s="2" t="s">
        <v>42</v>
      </c>
      <c r="I149" s="2" t="s">
        <v>43</v>
      </c>
      <c r="J149" s="2" t="s">
        <v>45</v>
      </c>
      <c r="K149" s="2" t="s">
        <v>46</v>
      </c>
      <c r="L149" s="2"/>
      <c r="M149" s="8" t="s">
        <v>827</v>
      </c>
    </row>
    <row r="150">
      <c r="A150" s="6"/>
      <c r="B150" s="13" t="s">
        <v>828</v>
      </c>
      <c r="C150" s="19" t="s">
        <v>829</v>
      </c>
      <c r="D150" s="2" t="s">
        <v>31</v>
      </c>
      <c r="E150" s="6" t="s">
        <v>101</v>
      </c>
      <c r="F150" s="2" t="s">
        <v>39</v>
      </c>
      <c r="G150" s="2" t="s">
        <v>21</v>
      </c>
      <c r="H150" s="2" t="s">
        <v>42</v>
      </c>
      <c r="I150" s="2" t="s">
        <v>43</v>
      </c>
      <c r="J150" s="2" t="s">
        <v>45</v>
      </c>
      <c r="K150" s="2" t="s">
        <v>46</v>
      </c>
      <c r="L150" s="2"/>
      <c r="M150" s="8" t="s">
        <v>830</v>
      </c>
    </row>
    <row r="151">
      <c r="A151" s="6"/>
      <c r="B151" s="13" t="s">
        <v>831</v>
      </c>
      <c r="C151" s="19" t="s">
        <v>832</v>
      </c>
      <c r="D151" s="2" t="s">
        <v>31</v>
      </c>
      <c r="E151" s="6" t="s">
        <v>84</v>
      </c>
      <c r="F151" s="2" t="s">
        <v>39</v>
      </c>
      <c r="G151" s="2" t="s">
        <v>21</v>
      </c>
      <c r="H151" s="2" t="s">
        <v>42</v>
      </c>
      <c r="I151" s="2" t="s">
        <v>43</v>
      </c>
      <c r="J151" s="2" t="s">
        <v>45</v>
      </c>
      <c r="K151" s="2" t="s">
        <v>46</v>
      </c>
      <c r="L151" s="2"/>
      <c r="M151" s="8" t="s">
        <v>833</v>
      </c>
    </row>
    <row r="152">
      <c r="A152" s="6"/>
      <c r="B152" s="13" t="s">
        <v>834</v>
      </c>
      <c r="C152" s="19" t="s">
        <v>835</v>
      </c>
      <c r="D152" s="2" t="s">
        <v>31</v>
      </c>
      <c r="E152" s="6" t="s">
        <v>441</v>
      </c>
      <c r="F152" s="2" t="s">
        <v>39</v>
      </c>
      <c r="G152" s="2" t="s">
        <v>21</v>
      </c>
      <c r="H152" s="2" t="s">
        <v>42</v>
      </c>
      <c r="I152" s="2" t="s">
        <v>43</v>
      </c>
      <c r="J152" s="2" t="s">
        <v>45</v>
      </c>
      <c r="K152" s="2" t="s">
        <v>46</v>
      </c>
      <c r="L152" s="2"/>
      <c r="M152" s="8" t="s">
        <v>836</v>
      </c>
    </row>
    <row r="153">
      <c r="A153" s="6"/>
      <c r="B153" s="13" t="s">
        <v>837</v>
      </c>
      <c r="C153" s="19" t="s">
        <v>838</v>
      </c>
      <c r="D153" s="2" t="s">
        <v>31</v>
      </c>
      <c r="E153" s="6" t="s">
        <v>445</v>
      </c>
      <c r="F153" s="2" t="s">
        <v>39</v>
      </c>
      <c r="G153" s="2" t="s">
        <v>21</v>
      </c>
      <c r="H153" s="2" t="s">
        <v>42</v>
      </c>
      <c r="I153" s="2" t="s">
        <v>43</v>
      </c>
      <c r="J153" s="2" t="s">
        <v>45</v>
      </c>
      <c r="K153" s="2" t="s">
        <v>46</v>
      </c>
      <c r="L153" s="2"/>
      <c r="M153" s="8" t="s">
        <v>839</v>
      </c>
    </row>
    <row r="154">
      <c r="A154" s="6"/>
      <c r="B154" s="13" t="s">
        <v>840</v>
      </c>
      <c r="C154" s="19" t="s">
        <v>841</v>
      </c>
      <c r="D154" s="2" t="s">
        <v>31</v>
      </c>
      <c r="E154" s="6" t="s">
        <v>842</v>
      </c>
      <c r="F154" s="2" t="s">
        <v>39</v>
      </c>
      <c r="G154" s="2" t="s">
        <v>21</v>
      </c>
      <c r="H154" s="2" t="s">
        <v>42</v>
      </c>
      <c r="I154" s="2" t="s">
        <v>43</v>
      </c>
      <c r="J154" s="2" t="s">
        <v>45</v>
      </c>
      <c r="K154" s="2" t="s">
        <v>46</v>
      </c>
      <c r="L154" s="2"/>
      <c r="M154" s="8" t="s">
        <v>843</v>
      </c>
    </row>
    <row r="155">
      <c r="A155" s="6"/>
      <c r="B155" s="13" t="s">
        <v>844</v>
      </c>
      <c r="C155" s="19" t="s">
        <v>845</v>
      </c>
      <c r="D155" s="2" t="s">
        <v>31</v>
      </c>
      <c r="E155" s="6" t="s">
        <v>117</v>
      </c>
      <c r="F155" s="2" t="s">
        <v>39</v>
      </c>
      <c r="G155" s="2" t="s">
        <v>21</v>
      </c>
      <c r="H155" s="2" t="s">
        <v>42</v>
      </c>
      <c r="I155" s="2" t="s">
        <v>43</v>
      </c>
      <c r="J155" s="2" t="s">
        <v>45</v>
      </c>
      <c r="K155" s="2" t="s">
        <v>46</v>
      </c>
      <c r="L155" s="2"/>
      <c r="M155" s="8" t="s">
        <v>846</v>
      </c>
    </row>
    <row r="156">
      <c r="A156" s="6"/>
      <c r="B156" s="13" t="s">
        <v>847</v>
      </c>
      <c r="C156" s="6"/>
      <c r="D156" s="2" t="s">
        <v>31</v>
      </c>
      <c r="E156" s="2" t="s">
        <v>849</v>
      </c>
      <c r="F156" s="2" t="s">
        <v>39</v>
      </c>
      <c r="G156" s="2" t="s">
        <v>21</v>
      </c>
      <c r="H156" s="2" t="s">
        <v>42</v>
      </c>
      <c r="I156" s="2" t="s">
        <v>43</v>
      </c>
      <c r="J156" s="2" t="s">
        <v>45</v>
      </c>
      <c r="K156" s="2" t="s">
        <v>46</v>
      </c>
      <c r="L156" s="2"/>
      <c r="M156" s="8" t="s">
        <v>850</v>
      </c>
    </row>
    <row r="157">
      <c r="A157" s="6"/>
      <c r="B157" s="13" t="s">
        <v>893</v>
      </c>
      <c r="C157" s="19" t="s">
        <v>894</v>
      </c>
      <c r="D157" s="2" t="s">
        <v>28</v>
      </c>
      <c r="E157" s="6" t="s">
        <v>896</v>
      </c>
      <c r="F157" s="2" t="s">
        <v>723</v>
      </c>
      <c r="G157" s="2" t="s">
        <v>21</v>
      </c>
      <c r="H157" s="2" t="s">
        <v>42</v>
      </c>
      <c r="I157" s="2" t="s">
        <v>43</v>
      </c>
      <c r="J157" s="2" t="s">
        <v>45</v>
      </c>
      <c r="K157" s="2" t="s">
        <v>46</v>
      </c>
      <c r="L157" s="6"/>
      <c r="M157" s="8" t="s">
        <v>897</v>
      </c>
    </row>
    <row r="158">
      <c r="A158" s="6"/>
      <c r="B158" s="13" t="s">
        <v>898</v>
      </c>
      <c r="C158" s="19" t="s">
        <v>899</v>
      </c>
      <c r="D158" s="2" t="s">
        <v>28</v>
      </c>
      <c r="E158" s="6" t="s">
        <v>896</v>
      </c>
      <c r="F158" s="2" t="s">
        <v>39</v>
      </c>
      <c r="G158" s="2" t="s">
        <v>21</v>
      </c>
      <c r="H158" s="2" t="s">
        <v>42</v>
      </c>
      <c r="I158" s="2" t="s">
        <v>43</v>
      </c>
      <c r="J158" s="2" t="s">
        <v>45</v>
      </c>
      <c r="K158" s="2" t="s">
        <v>46</v>
      </c>
      <c r="L158" s="6"/>
      <c r="M158" s="21" t="s">
        <v>902</v>
      </c>
    </row>
    <row r="159">
      <c r="A159" s="6"/>
      <c r="B159" s="13" t="s">
        <v>903</v>
      </c>
      <c r="C159" s="2"/>
      <c r="D159" s="6"/>
      <c r="E159" s="6"/>
      <c r="F159" s="6"/>
      <c r="G159" s="6"/>
      <c r="H159" s="6"/>
      <c r="I159" s="6"/>
      <c r="J159" s="6"/>
      <c r="K159" s="6"/>
      <c r="L159" s="6"/>
      <c r="M159" s="21" t="s">
        <v>902</v>
      </c>
    </row>
    <row r="160">
      <c r="A160" s="6"/>
      <c r="B160" s="13" t="s">
        <v>904</v>
      </c>
      <c r="C160" s="8" t="s">
        <v>905</v>
      </c>
      <c r="D160" s="2" t="s">
        <v>31</v>
      </c>
      <c r="E160" s="2" t="s">
        <v>69</v>
      </c>
      <c r="F160" s="6"/>
      <c r="G160" s="6"/>
      <c r="H160" s="6"/>
      <c r="I160" s="6"/>
      <c r="J160" s="6"/>
      <c r="K160" s="6"/>
      <c r="L160" s="6"/>
      <c r="M160" s="21" t="s">
        <v>902</v>
      </c>
    </row>
    <row r="161">
      <c r="A161" s="6"/>
      <c r="B161" s="13" t="s">
        <v>908</v>
      </c>
      <c r="C161" s="19" t="s">
        <v>909</v>
      </c>
      <c r="D161" s="2" t="s">
        <v>31</v>
      </c>
      <c r="E161" s="2" t="s">
        <v>265</v>
      </c>
      <c r="F161" s="6"/>
      <c r="G161" s="6"/>
      <c r="H161" s="6"/>
      <c r="I161" s="6"/>
      <c r="J161" s="6"/>
      <c r="K161" s="6"/>
      <c r="L161" s="6"/>
      <c r="M161" s="21" t="s">
        <v>902</v>
      </c>
    </row>
    <row r="162">
      <c r="A162" s="6"/>
      <c r="B162" s="13" t="s">
        <v>911</v>
      </c>
      <c r="C162" s="19" t="s">
        <v>912</v>
      </c>
      <c r="D162" s="2" t="s">
        <v>31</v>
      </c>
      <c r="E162" s="2" t="s">
        <v>66</v>
      </c>
      <c r="F162" s="2" t="s">
        <v>39</v>
      </c>
      <c r="G162" s="2" t="s">
        <v>21</v>
      </c>
      <c r="H162" s="2" t="s">
        <v>42</v>
      </c>
      <c r="I162" s="6"/>
      <c r="J162" s="2" t="s">
        <v>45</v>
      </c>
      <c r="K162" s="2" t="s">
        <v>46</v>
      </c>
      <c r="L162" s="6"/>
      <c r="M162" s="21" t="s">
        <v>902</v>
      </c>
    </row>
    <row r="163">
      <c r="A163" s="6"/>
      <c r="B163" s="13" t="s">
        <v>915</v>
      </c>
      <c r="C163" s="19" t="s">
        <v>916</v>
      </c>
      <c r="D163" s="2" t="s">
        <v>31</v>
      </c>
      <c r="E163" s="2" t="s">
        <v>78</v>
      </c>
      <c r="F163" s="6"/>
      <c r="G163" s="6"/>
      <c r="H163" s="6"/>
      <c r="I163" s="6"/>
      <c r="J163" s="6"/>
      <c r="K163" s="6"/>
      <c r="L163" s="6"/>
      <c r="M163" s="21" t="s">
        <v>902</v>
      </c>
    </row>
    <row r="164">
      <c r="A164" s="6"/>
      <c r="B164" s="13" t="s">
        <v>917</v>
      </c>
      <c r="C164" s="19" t="s">
        <v>918</v>
      </c>
      <c r="D164" s="2" t="s">
        <v>31</v>
      </c>
      <c r="E164" s="2" t="s">
        <v>49</v>
      </c>
      <c r="F164" s="6"/>
      <c r="G164" s="6"/>
      <c r="H164" s="6"/>
      <c r="I164" s="6"/>
      <c r="J164" s="6"/>
      <c r="K164" s="6"/>
      <c r="L164" s="6"/>
      <c r="M164" s="21" t="s">
        <v>902</v>
      </c>
    </row>
    <row r="165">
      <c r="A165" s="6"/>
      <c r="B165" s="13" t="s">
        <v>920</v>
      </c>
      <c r="C165" s="19" t="s">
        <v>921</v>
      </c>
      <c r="D165" s="2" t="s">
        <v>31</v>
      </c>
      <c r="E165" s="2" t="s">
        <v>478</v>
      </c>
      <c r="F165" s="6"/>
      <c r="G165" s="6"/>
      <c r="H165" s="6"/>
      <c r="I165" s="6"/>
      <c r="J165" s="6"/>
      <c r="K165" s="6"/>
      <c r="L165" s="6"/>
      <c r="M165" s="21" t="s">
        <v>902</v>
      </c>
    </row>
    <row r="166">
      <c r="A166" s="6"/>
      <c r="B166" s="13" t="s">
        <v>922</v>
      </c>
      <c r="C166" s="19" t="s">
        <v>923</v>
      </c>
      <c r="D166" s="2" t="s">
        <v>31</v>
      </c>
      <c r="E166" s="2" t="s">
        <v>124</v>
      </c>
      <c r="F166" s="6"/>
      <c r="G166" s="6"/>
      <c r="H166" s="6"/>
      <c r="I166" s="6"/>
      <c r="J166" s="6"/>
      <c r="K166" s="6"/>
      <c r="L166" s="6"/>
      <c r="M166" s="21" t="s">
        <v>902</v>
      </c>
    </row>
    <row r="167">
      <c r="A167" s="6"/>
      <c r="B167" s="13" t="s">
        <v>925</v>
      </c>
      <c r="C167" s="19" t="s">
        <v>926</v>
      </c>
      <c r="D167" s="2" t="s">
        <v>31</v>
      </c>
      <c r="E167" s="2" t="s">
        <v>405</v>
      </c>
      <c r="F167" s="6"/>
      <c r="G167" s="6"/>
      <c r="H167" s="6"/>
      <c r="I167" s="6"/>
      <c r="J167" s="6"/>
      <c r="K167" s="6"/>
      <c r="L167" s="6"/>
      <c r="M167" s="21" t="s">
        <v>902</v>
      </c>
    </row>
    <row r="168">
      <c r="A168" s="6"/>
      <c r="B168" s="13" t="s">
        <v>927</v>
      </c>
      <c r="C168" s="19" t="s">
        <v>928</v>
      </c>
      <c r="D168" s="2" t="s">
        <v>31</v>
      </c>
      <c r="E168" s="2" t="s">
        <v>164</v>
      </c>
      <c r="F168" s="6"/>
      <c r="G168" s="6"/>
      <c r="H168" s="6"/>
      <c r="I168" s="6"/>
      <c r="J168" s="6"/>
      <c r="K168" s="6"/>
      <c r="L168" s="6"/>
      <c r="M168" s="21" t="s">
        <v>902</v>
      </c>
    </row>
    <row r="169">
      <c r="A169" s="6"/>
      <c r="B169" s="13" t="s">
        <v>930</v>
      </c>
      <c r="C169" s="19" t="s">
        <v>931</v>
      </c>
      <c r="D169" s="2" t="s">
        <v>31</v>
      </c>
      <c r="E169" s="2" t="s">
        <v>434</v>
      </c>
      <c r="F169" s="6"/>
      <c r="G169" s="6"/>
      <c r="H169" s="6"/>
      <c r="I169" s="6"/>
      <c r="J169" s="6"/>
      <c r="K169" s="6"/>
      <c r="L169" s="6"/>
      <c r="M169" s="21" t="s">
        <v>902</v>
      </c>
    </row>
    <row r="170">
      <c r="A170" s="6"/>
      <c r="B170" s="13" t="s">
        <v>932</v>
      </c>
      <c r="C170" s="8" t="s">
        <v>933</v>
      </c>
      <c r="D170" s="2" t="s">
        <v>31</v>
      </c>
      <c r="E170" s="2" t="s">
        <v>184</v>
      </c>
      <c r="F170" s="6"/>
      <c r="G170" s="6"/>
      <c r="H170" s="6"/>
      <c r="I170" s="6"/>
      <c r="J170" s="6"/>
      <c r="K170" s="6"/>
      <c r="L170" s="6"/>
      <c r="M170" s="21" t="s">
        <v>902</v>
      </c>
    </row>
    <row r="171">
      <c r="A171" s="6"/>
      <c r="B171" s="13" t="s">
        <v>935</v>
      </c>
      <c r="C171" s="19" t="s">
        <v>936</v>
      </c>
      <c r="D171" s="6"/>
      <c r="E171" s="6"/>
      <c r="F171" s="6"/>
      <c r="G171" s="6"/>
      <c r="H171" s="6"/>
      <c r="I171" s="6"/>
      <c r="J171" s="6"/>
      <c r="K171" s="6"/>
      <c r="L171" s="6"/>
      <c r="M171" s="21" t="s">
        <v>902</v>
      </c>
    </row>
    <row r="172">
      <c r="A172" s="6"/>
      <c r="B172" s="13" t="s">
        <v>938</v>
      </c>
      <c r="C172" s="19" t="s">
        <v>939</v>
      </c>
      <c r="D172" s="6"/>
      <c r="E172" s="6"/>
      <c r="F172" s="6"/>
      <c r="G172" s="6"/>
      <c r="H172" s="6"/>
      <c r="I172" s="6"/>
      <c r="J172" s="6"/>
      <c r="K172" s="6"/>
      <c r="L172" s="6"/>
      <c r="M172" s="21" t="s">
        <v>902</v>
      </c>
    </row>
    <row r="173">
      <c r="A173" s="6"/>
      <c r="B173" s="13" t="s">
        <v>941</v>
      </c>
      <c r="C173" s="19" t="s">
        <v>942</v>
      </c>
      <c r="D173" s="6"/>
      <c r="E173" s="6"/>
      <c r="F173" s="6"/>
      <c r="G173" s="6"/>
      <c r="H173" s="6"/>
      <c r="I173" s="6"/>
      <c r="J173" s="6"/>
      <c r="K173" s="6"/>
      <c r="L173" s="6"/>
      <c r="M173" s="21" t="s">
        <v>902</v>
      </c>
    </row>
    <row r="174">
      <c r="A174" s="6"/>
      <c r="B174" s="13" t="s">
        <v>943</v>
      </c>
      <c r="C174" s="19" t="s">
        <v>944</v>
      </c>
      <c r="D174" s="2" t="s">
        <v>727</v>
      </c>
      <c r="E174" s="6"/>
      <c r="F174" s="6"/>
      <c r="G174" s="6"/>
      <c r="H174" s="6"/>
      <c r="I174" s="6"/>
      <c r="J174" s="6"/>
      <c r="K174" s="6"/>
      <c r="L174" s="6"/>
      <c r="M174" s="8" t="s">
        <v>946</v>
      </c>
    </row>
    <row r="175">
      <c r="A175" s="6"/>
      <c r="B175" s="13" t="s">
        <v>596</v>
      </c>
      <c r="C175" s="19" t="s">
        <v>597</v>
      </c>
      <c r="D175" s="2" t="s">
        <v>31</v>
      </c>
      <c r="E175" s="2" t="s">
        <v>390</v>
      </c>
      <c r="F175" s="2" t="s">
        <v>39</v>
      </c>
      <c r="G175" s="2" t="s">
        <v>21</v>
      </c>
      <c r="H175" s="2" t="s">
        <v>42</v>
      </c>
      <c r="I175" s="2" t="s">
        <v>43</v>
      </c>
      <c r="J175" s="2" t="s">
        <v>598</v>
      </c>
      <c r="K175" s="2" t="s">
        <v>46</v>
      </c>
      <c r="L175" s="2" t="s">
        <v>47</v>
      </c>
      <c r="M175" s="6"/>
    </row>
    <row r="176">
      <c r="A176" s="6"/>
      <c r="B176" s="13" t="s">
        <v>948</v>
      </c>
      <c r="C176" s="2"/>
      <c r="D176" s="2" t="s">
        <v>31</v>
      </c>
      <c r="E176" s="2" t="s">
        <v>78</v>
      </c>
      <c r="F176" s="2" t="s">
        <v>39</v>
      </c>
      <c r="G176" s="2" t="s">
        <v>21</v>
      </c>
      <c r="H176" s="2" t="s">
        <v>42</v>
      </c>
      <c r="I176" s="2" t="s">
        <v>43</v>
      </c>
      <c r="J176" s="2" t="s">
        <v>598</v>
      </c>
      <c r="K176" s="2" t="s">
        <v>46</v>
      </c>
      <c r="L176" s="2" t="s">
        <v>47</v>
      </c>
      <c r="M176" s="6"/>
    </row>
    <row r="177">
      <c r="A177" s="6"/>
      <c r="B177" s="13" t="s">
        <v>949</v>
      </c>
      <c r="C177" s="2"/>
      <c r="D177" s="2" t="s">
        <v>31</v>
      </c>
      <c r="E177" s="2" t="s">
        <v>104</v>
      </c>
      <c r="F177" s="2" t="s">
        <v>39</v>
      </c>
      <c r="G177" s="2" t="s">
        <v>21</v>
      </c>
      <c r="H177" s="2" t="s">
        <v>42</v>
      </c>
      <c r="I177" s="2" t="s">
        <v>43</v>
      </c>
      <c r="J177" s="2" t="s">
        <v>598</v>
      </c>
      <c r="K177" s="2" t="s">
        <v>46</v>
      </c>
      <c r="L177" s="2" t="s">
        <v>47</v>
      </c>
      <c r="M177" s="6"/>
    </row>
    <row r="178">
      <c r="A178" s="6"/>
      <c r="B178" s="13" t="s">
        <v>951</v>
      </c>
      <c r="C178" s="19" t="s">
        <v>952</v>
      </c>
      <c r="D178" s="2" t="s">
        <v>31</v>
      </c>
      <c r="E178" s="2" t="s">
        <v>92</v>
      </c>
      <c r="F178" s="2" t="s">
        <v>39</v>
      </c>
      <c r="G178" s="2" t="s">
        <v>21</v>
      </c>
      <c r="H178" s="2" t="s">
        <v>42</v>
      </c>
      <c r="I178" s="2" t="s">
        <v>43</v>
      </c>
      <c r="J178" s="2" t="s">
        <v>598</v>
      </c>
      <c r="K178" s="2" t="s">
        <v>46</v>
      </c>
      <c r="L178" s="2" t="s">
        <v>47</v>
      </c>
      <c r="M178" s="6"/>
    </row>
    <row r="179">
      <c r="A179" s="6"/>
      <c r="B179" s="13" t="s">
        <v>953</v>
      </c>
      <c r="C179" s="2"/>
      <c r="D179" s="2" t="s">
        <v>31</v>
      </c>
      <c r="E179" s="2" t="s">
        <v>84</v>
      </c>
      <c r="F179" s="2" t="s">
        <v>39</v>
      </c>
      <c r="G179" s="2" t="s">
        <v>21</v>
      </c>
      <c r="H179" s="2" t="s">
        <v>42</v>
      </c>
      <c r="I179" s="2" t="s">
        <v>43</v>
      </c>
      <c r="J179" s="2" t="s">
        <v>598</v>
      </c>
      <c r="K179" s="2" t="s">
        <v>46</v>
      </c>
      <c r="L179" s="2" t="s">
        <v>47</v>
      </c>
      <c r="M179" s="6"/>
    </row>
    <row r="180">
      <c r="A180" s="6"/>
      <c r="B180" s="13" t="s">
        <v>955</v>
      </c>
      <c r="C180" s="19" t="s">
        <v>956</v>
      </c>
      <c r="D180" s="2" t="s">
        <v>31</v>
      </c>
      <c r="E180" s="2" t="s">
        <v>181</v>
      </c>
      <c r="F180" s="2" t="s">
        <v>39</v>
      </c>
      <c r="G180" s="2" t="s">
        <v>21</v>
      </c>
      <c r="H180" s="2" t="s">
        <v>42</v>
      </c>
      <c r="I180" s="2" t="s">
        <v>43</v>
      </c>
      <c r="J180" s="2" t="s">
        <v>598</v>
      </c>
      <c r="K180" s="2" t="s">
        <v>46</v>
      </c>
      <c r="L180" s="2" t="s">
        <v>47</v>
      </c>
      <c r="M180" s="6"/>
    </row>
    <row r="181">
      <c r="A181" s="6"/>
      <c r="B181" s="13" t="s">
        <v>958</v>
      </c>
      <c r="C181" s="2"/>
      <c r="D181" s="2" t="s">
        <v>31</v>
      </c>
      <c r="E181" s="2" t="s">
        <v>142</v>
      </c>
      <c r="F181" s="2" t="s">
        <v>39</v>
      </c>
      <c r="G181" s="2" t="s">
        <v>21</v>
      </c>
      <c r="H181" s="2" t="s">
        <v>42</v>
      </c>
      <c r="I181" s="2" t="s">
        <v>43</v>
      </c>
      <c r="J181" s="2" t="s">
        <v>598</v>
      </c>
      <c r="K181" s="2" t="s">
        <v>46</v>
      </c>
      <c r="L181" s="2" t="s">
        <v>47</v>
      </c>
      <c r="M181" s="6"/>
    </row>
    <row r="182">
      <c r="A182" s="6"/>
      <c r="B182" s="13" t="s">
        <v>959</v>
      </c>
      <c r="C182" s="2"/>
      <c r="D182" s="2" t="s">
        <v>31</v>
      </c>
      <c r="E182" s="2" t="s">
        <v>706</v>
      </c>
      <c r="F182" s="2" t="s">
        <v>39</v>
      </c>
      <c r="G182" s="2" t="s">
        <v>21</v>
      </c>
      <c r="H182" s="2" t="s">
        <v>42</v>
      </c>
      <c r="I182" s="2" t="s">
        <v>43</v>
      </c>
      <c r="J182" s="2" t="s">
        <v>598</v>
      </c>
      <c r="K182" s="2" t="s">
        <v>46</v>
      </c>
      <c r="L182" s="2" t="s">
        <v>47</v>
      </c>
      <c r="M182" s="6"/>
    </row>
    <row r="183">
      <c r="A183" s="6"/>
      <c r="B183" s="13" t="s">
        <v>960</v>
      </c>
      <c r="C183" s="19" t="s">
        <v>961</v>
      </c>
      <c r="D183" s="2" t="s">
        <v>31</v>
      </c>
      <c r="E183" s="2" t="s">
        <v>963</v>
      </c>
      <c r="F183" s="2" t="s">
        <v>39</v>
      </c>
      <c r="G183" s="2" t="s">
        <v>21</v>
      </c>
      <c r="H183" s="2" t="s">
        <v>42</v>
      </c>
      <c r="I183" s="2" t="s">
        <v>43</v>
      </c>
      <c r="J183" s="2" t="s">
        <v>598</v>
      </c>
      <c r="K183" s="2" t="s">
        <v>46</v>
      </c>
      <c r="L183" s="2" t="s">
        <v>47</v>
      </c>
      <c r="M183" s="6"/>
    </row>
    <row r="184">
      <c r="A184" s="6"/>
      <c r="B184" s="13" t="s">
        <v>965</v>
      </c>
      <c r="C184" s="2"/>
      <c r="D184" s="2" t="s">
        <v>31</v>
      </c>
      <c r="E184" s="2" t="s">
        <v>233</v>
      </c>
      <c r="F184" s="2" t="s">
        <v>39</v>
      </c>
      <c r="G184" s="2" t="s">
        <v>21</v>
      </c>
      <c r="H184" s="2" t="s">
        <v>42</v>
      </c>
      <c r="I184" s="2" t="s">
        <v>43</v>
      </c>
      <c r="J184" s="2" t="s">
        <v>598</v>
      </c>
      <c r="K184" s="2" t="s">
        <v>46</v>
      </c>
      <c r="L184" s="2" t="s">
        <v>47</v>
      </c>
      <c r="M184" s="6"/>
    </row>
    <row r="185">
      <c r="A185" s="6"/>
      <c r="B185" s="13" t="s">
        <v>966</v>
      </c>
      <c r="C185" s="19" t="s">
        <v>967</v>
      </c>
      <c r="D185" s="2" t="s">
        <v>31</v>
      </c>
      <c r="E185" s="2" t="s">
        <v>969</v>
      </c>
      <c r="F185" s="2" t="s">
        <v>39</v>
      </c>
      <c r="G185" s="2" t="s">
        <v>21</v>
      </c>
      <c r="H185" s="2" t="s">
        <v>42</v>
      </c>
      <c r="I185" s="2" t="s">
        <v>43</v>
      </c>
      <c r="J185" s="2" t="s">
        <v>598</v>
      </c>
      <c r="K185" s="2" t="s">
        <v>46</v>
      </c>
      <c r="L185" s="2" t="s">
        <v>47</v>
      </c>
      <c r="M185" s="6"/>
    </row>
    <row r="186">
      <c r="A186" s="6"/>
      <c r="B186" s="13" t="s">
        <v>970</v>
      </c>
      <c r="C186" s="2"/>
      <c r="D186" s="2" t="s">
        <v>31</v>
      </c>
      <c r="E186" s="2" t="s">
        <v>240</v>
      </c>
      <c r="F186" s="2" t="s">
        <v>39</v>
      </c>
      <c r="G186" s="2" t="s">
        <v>21</v>
      </c>
      <c r="H186" s="2" t="s">
        <v>42</v>
      </c>
      <c r="I186" s="2" t="s">
        <v>43</v>
      </c>
      <c r="J186" s="2" t="s">
        <v>598</v>
      </c>
      <c r="K186" s="2" t="s">
        <v>46</v>
      </c>
      <c r="L186" s="2" t="s">
        <v>47</v>
      </c>
      <c r="M186" s="6"/>
    </row>
    <row r="187">
      <c r="A187" s="6"/>
      <c r="B187" s="13" t="s">
        <v>972</v>
      </c>
      <c r="C187" s="19" t="s">
        <v>973</v>
      </c>
      <c r="D187" s="2" t="s">
        <v>31</v>
      </c>
      <c r="E187" s="2" t="s">
        <v>211</v>
      </c>
      <c r="F187" s="2" t="s">
        <v>39</v>
      </c>
      <c r="G187" s="2" t="s">
        <v>21</v>
      </c>
      <c r="H187" s="2" t="s">
        <v>42</v>
      </c>
      <c r="I187" s="2" t="s">
        <v>43</v>
      </c>
      <c r="J187" s="2" t="s">
        <v>598</v>
      </c>
      <c r="K187" s="2" t="s">
        <v>46</v>
      </c>
      <c r="L187" s="2" t="s">
        <v>47</v>
      </c>
      <c r="M187" s="6"/>
    </row>
    <row r="188">
      <c r="A188" s="6"/>
      <c r="B188" s="13" t="s">
        <v>975</v>
      </c>
      <c r="C188" s="19" t="s">
        <v>976</v>
      </c>
      <c r="D188" s="2" t="s">
        <v>31</v>
      </c>
      <c r="E188" s="2" t="s">
        <v>978</v>
      </c>
      <c r="F188" s="2" t="s">
        <v>39</v>
      </c>
      <c r="G188" s="2" t="s">
        <v>21</v>
      </c>
      <c r="H188" s="2" t="s">
        <v>42</v>
      </c>
      <c r="I188" s="2" t="s">
        <v>43</v>
      </c>
      <c r="J188" s="2" t="s">
        <v>598</v>
      </c>
      <c r="K188" s="2" t="s">
        <v>46</v>
      </c>
      <c r="L188" s="2" t="s">
        <v>47</v>
      </c>
      <c r="M188" s="6"/>
    </row>
    <row r="189">
      <c r="A189" s="6"/>
      <c r="B189" s="13" t="s">
        <v>979</v>
      </c>
      <c r="C189" s="19" t="s">
        <v>928</v>
      </c>
      <c r="D189" s="2" t="s">
        <v>31</v>
      </c>
      <c r="E189" s="2" t="s">
        <v>164</v>
      </c>
      <c r="F189" s="2" t="s">
        <v>39</v>
      </c>
      <c r="G189" s="2" t="s">
        <v>21</v>
      </c>
      <c r="H189" s="2" t="s">
        <v>42</v>
      </c>
      <c r="I189" s="2" t="s">
        <v>43</v>
      </c>
      <c r="J189" s="2" t="s">
        <v>598</v>
      </c>
      <c r="K189" s="2" t="s">
        <v>46</v>
      </c>
      <c r="L189" s="2" t="s">
        <v>47</v>
      </c>
      <c r="M189" s="6"/>
    </row>
    <row r="190">
      <c r="A190" s="6"/>
      <c r="B190" s="13" t="s">
        <v>981</v>
      </c>
      <c r="C190" s="19" t="s">
        <v>982</v>
      </c>
      <c r="D190" s="2" t="s">
        <v>31</v>
      </c>
      <c r="E190" s="2" t="s">
        <v>193</v>
      </c>
      <c r="F190" s="2" t="s">
        <v>39</v>
      </c>
      <c r="G190" s="2" t="s">
        <v>21</v>
      </c>
      <c r="H190" s="2" t="s">
        <v>42</v>
      </c>
      <c r="I190" s="2" t="s">
        <v>43</v>
      </c>
      <c r="J190" s="2" t="s">
        <v>598</v>
      </c>
      <c r="K190" s="2" t="s">
        <v>46</v>
      </c>
      <c r="L190" s="2" t="s">
        <v>47</v>
      </c>
      <c r="M190" s="6"/>
    </row>
    <row r="191">
      <c r="A191" s="6"/>
      <c r="B191" s="13" t="s">
        <v>983</v>
      </c>
      <c r="C191" s="19" t="s">
        <v>984</v>
      </c>
      <c r="D191" s="2" t="s">
        <v>31</v>
      </c>
      <c r="E191" s="2" t="s">
        <v>986</v>
      </c>
      <c r="F191" s="2" t="s">
        <v>39</v>
      </c>
      <c r="G191" s="2" t="s">
        <v>21</v>
      </c>
      <c r="H191" s="2" t="s">
        <v>42</v>
      </c>
      <c r="I191" s="2" t="s">
        <v>43</v>
      </c>
      <c r="J191" s="2" t="s">
        <v>598</v>
      </c>
      <c r="K191" s="2" t="s">
        <v>46</v>
      </c>
      <c r="L191" s="2" t="s">
        <v>47</v>
      </c>
      <c r="M191" s="6"/>
    </row>
    <row r="192">
      <c r="A192" s="6"/>
      <c r="B192" s="13" t="s">
        <v>987</v>
      </c>
      <c r="C192" s="8" t="s">
        <v>988</v>
      </c>
      <c r="D192" s="2" t="s">
        <v>31</v>
      </c>
      <c r="E192" s="2" t="s">
        <v>429</v>
      </c>
      <c r="F192" s="2" t="s">
        <v>39</v>
      </c>
      <c r="G192" s="2" t="s">
        <v>21</v>
      </c>
      <c r="H192" s="2" t="s">
        <v>42</v>
      </c>
      <c r="I192" s="2" t="s">
        <v>43</v>
      </c>
      <c r="J192" s="2" t="s">
        <v>598</v>
      </c>
      <c r="K192" s="2" t="s">
        <v>46</v>
      </c>
      <c r="L192" s="2" t="s">
        <v>47</v>
      </c>
      <c r="M192" s="19" t="s">
        <v>990</v>
      </c>
    </row>
    <row r="193">
      <c r="A193" s="6"/>
      <c r="B193" s="13" t="s">
        <v>991</v>
      </c>
      <c r="C193" s="2"/>
      <c r="D193" s="2" t="s">
        <v>31</v>
      </c>
      <c r="E193" s="2" t="s">
        <v>258</v>
      </c>
      <c r="F193" s="2" t="s">
        <v>39</v>
      </c>
      <c r="G193" s="2" t="s">
        <v>21</v>
      </c>
      <c r="H193" s="2" t="s">
        <v>42</v>
      </c>
      <c r="I193" s="2" t="s">
        <v>43</v>
      </c>
      <c r="J193" s="2" t="s">
        <v>598</v>
      </c>
      <c r="K193" s="2" t="s">
        <v>46</v>
      </c>
      <c r="L193" s="2" t="s">
        <v>47</v>
      </c>
      <c r="M193" s="6"/>
    </row>
    <row r="194">
      <c r="A194" s="6"/>
      <c r="B194" s="13" t="s">
        <v>993</v>
      </c>
      <c r="C194" s="19" t="s">
        <v>994</v>
      </c>
      <c r="D194" s="2" t="s">
        <v>31</v>
      </c>
      <c r="E194" s="2" t="s">
        <v>218</v>
      </c>
      <c r="F194" s="2" t="s">
        <v>39</v>
      </c>
      <c r="G194" s="2" t="s">
        <v>21</v>
      </c>
      <c r="H194" s="2" t="s">
        <v>42</v>
      </c>
      <c r="I194" s="2" t="s">
        <v>43</v>
      </c>
      <c r="J194" s="2" t="s">
        <v>598</v>
      </c>
      <c r="K194" s="2" t="s">
        <v>46</v>
      </c>
      <c r="L194" s="2" t="s">
        <v>47</v>
      </c>
      <c r="M194" s="6"/>
    </row>
    <row r="195">
      <c r="A195" s="6"/>
      <c r="B195" s="13" t="s">
        <v>995</v>
      </c>
      <c r="C195" s="2"/>
      <c r="D195" s="2" t="s">
        <v>31</v>
      </c>
      <c r="E195" s="2" t="s">
        <v>283</v>
      </c>
      <c r="F195" s="2" t="s">
        <v>39</v>
      </c>
      <c r="G195" s="2" t="s">
        <v>21</v>
      </c>
      <c r="H195" s="2" t="s">
        <v>42</v>
      </c>
      <c r="I195" s="2" t="s">
        <v>43</v>
      </c>
      <c r="J195" s="2" t="s">
        <v>598</v>
      </c>
      <c r="K195" s="2" t="s">
        <v>46</v>
      </c>
      <c r="L195" s="2" t="s">
        <v>47</v>
      </c>
      <c r="M195" s="6"/>
    </row>
    <row r="196">
      <c r="A196" s="6"/>
      <c r="B196" s="13" t="s">
        <v>997</v>
      </c>
      <c r="C196" s="2"/>
      <c r="D196" s="2" t="s">
        <v>31</v>
      </c>
      <c r="E196" s="2" t="s">
        <v>86</v>
      </c>
      <c r="F196" s="2" t="s">
        <v>39</v>
      </c>
      <c r="G196" s="2" t="s">
        <v>21</v>
      </c>
      <c r="H196" s="2" t="s">
        <v>42</v>
      </c>
      <c r="I196" s="2" t="s">
        <v>43</v>
      </c>
      <c r="J196" s="2" t="s">
        <v>598</v>
      </c>
      <c r="K196" s="2" t="s">
        <v>46</v>
      </c>
      <c r="L196" s="2" t="s">
        <v>47</v>
      </c>
      <c r="M196" s="6"/>
    </row>
    <row r="197">
      <c r="A197" s="6"/>
      <c r="B197" s="13" t="s">
        <v>998</v>
      </c>
      <c r="C197" s="19" t="s">
        <v>999</v>
      </c>
      <c r="D197" s="2" t="s">
        <v>31</v>
      </c>
      <c r="E197" s="2" t="s">
        <v>95</v>
      </c>
      <c r="F197" s="2" t="s">
        <v>39</v>
      </c>
      <c r="G197" s="2" t="s">
        <v>21</v>
      </c>
      <c r="H197" s="2" t="s">
        <v>42</v>
      </c>
      <c r="I197" s="2" t="s">
        <v>43</v>
      </c>
      <c r="J197" s="2" t="s">
        <v>598</v>
      </c>
      <c r="K197" s="2" t="s">
        <v>46</v>
      </c>
      <c r="L197" s="2" t="s">
        <v>47</v>
      </c>
      <c r="M197" s="6"/>
    </row>
    <row r="198">
      <c r="A198" s="6"/>
      <c r="B198" s="13" t="s">
        <v>1001</v>
      </c>
      <c r="C198" s="19" t="s">
        <v>1002</v>
      </c>
      <c r="D198" s="2" t="s">
        <v>31</v>
      </c>
      <c r="E198" s="2" t="s">
        <v>322</v>
      </c>
      <c r="F198" s="2" t="s">
        <v>39</v>
      </c>
      <c r="G198" s="2" t="s">
        <v>21</v>
      </c>
      <c r="H198" s="2" t="s">
        <v>42</v>
      </c>
      <c r="I198" s="2" t="s">
        <v>43</v>
      </c>
      <c r="J198" s="2" t="s">
        <v>598</v>
      </c>
      <c r="K198" s="2" t="s">
        <v>46</v>
      </c>
      <c r="L198" s="2" t="s">
        <v>47</v>
      </c>
      <c r="M198" s="6"/>
    </row>
    <row r="199">
      <c r="A199" s="6"/>
      <c r="B199" s="13" t="s">
        <v>1004</v>
      </c>
      <c r="C199" s="19" t="s">
        <v>1005</v>
      </c>
      <c r="D199" s="2" t="s">
        <v>31</v>
      </c>
      <c r="E199" s="2" t="s">
        <v>130</v>
      </c>
      <c r="F199" s="2" t="s">
        <v>39</v>
      </c>
      <c r="G199" s="2" t="s">
        <v>21</v>
      </c>
      <c r="H199" s="2" t="s">
        <v>42</v>
      </c>
      <c r="I199" s="2" t="s">
        <v>43</v>
      </c>
      <c r="J199" s="2" t="s">
        <v>598</v>
      </c>
      <c r="K199" s="2" t="s">
        <v>46</v>
      </c>
      <c r="L199" s="2" t="s">
        <v>47</v>
      </c>
      <c r="M199" s="6"/>
    </row>
    <row r="200">
      <c r="A200" s="6"/>
      <c r="B200" s="13" t="s">
        <v>1006</v>
      </c>
      <c r="C200" s="2"/>
      <c r="D200" s="2" t="s">
        <v>31</v>
      </c>
      <c r="E200" s="2" t="s">
        <v>56</v>
      </c>
      <c r="F200" s="2" t="s">
        <v>39</v>
      </c>
      <c r="G200" s="2" t="s">
        <v>21</v>
      </c>
      <c r="H200" s="2" t="s">
        <v>42</v>
      </c>
      <c r="I200" s="2" t="s">
        <v>43</v>
      </c>
      <c r="J200" s="2" t="s">
        <v>598</v>
      </c>
      <c r="K200" s="2" t="s">
        <v>46</v>
      </c>
      <c r="L200" s="2" t="s">
        <v>47</v>
      </c>
      <c r="M200" s="6"/>
    </row>
    <row r="201">
      <c r="A201" s="6"/>
      <c r="B201" s="13" t="s">
        <v>1008</v>
      </c>
      <c r="C201" s="19" t="s">
        <v>1009</v>
      </c>
      <c r="D201" s="2" t="s">
        <v>31</v>
      </c>
      <c r="E201" s="2" t="s">
        <v>231</v>
      </c>
      <c r="F201" s="2" t="s">
        <v>39</v>
      </c>
      <c r="G201" s="2" t="s">
        <v>21</v>
      </c>
      <c r="H201" s="2" t="s">
        <v>42</v>
      </c>
      <c r="I201" s="2" t="s">
        <v>43</v>
      </c>
      <c r="J201" s="2" t="s">
        <v>598</v>
      </c>
      <c r="K201" s="2" t="s">
        <v>46</v>
      </c>
      <c r="L201" s="2" t="s">
        <v>47</v>
      </c>
      <c r="M201" s="6"/>
    </row>
    <row r="202">
      <c r="A202" s="6"/>
      <c r="B202" s="13" t="s">
        <v>1010</v>
      </c>
      <c r="C202" s="19" t="s">
        <v>1011</v>
      </c>
      <c r="D202" s="2" t="s">
        <v>31</v>
      </c>
      <c r="E202" s="2" t="s">
        <v>238</v>
      </c>
      <c r="F202" s="2" t="s">
        <v>39</v>
      </c>
      <c r="G202" s="2" t="s">
        <v>21</v>
      </c>
      <c r="H202" s="2" t="s">
        <v>42</v>
      </c>
      <c r="I202" s="2" t="s">
        <v>43</v>
      </c>
      <c r="J202" s="2" t="s">
        <v>598</v>
      </c>
      <c r="K202" s="2" t="s">
        <v>46</v>
      </c>
      <c r="L202" s="2" t="s">
        <v>47</v>
      </c>
      <c r="M202" s="6"/>
    </row>
    <row r="203">
      <c r="A203" s="6"/>
      <c r="B203" s="13" t="s">
        <v>1014</v>
      </c>
      <c r="C203" s="19" t="s">
        <v>1015</v>
      </c>
      <c r="D203" s="2" t="s">
        <v>31</v>
      </c>
      <c r="E203" s="2" t="s">
        <v>222</v>
      </c>
      <c r="F203" s="2" t="s">
        <v>39</v>
      </c>
      <c r="G203" s="2" t="s">
        <v>21</v>
      </c>
      <c r="H203" s="2" t="s">
        <v>42</v>
      </c>
      <c r="I203" s="2" t="s">
        <v>43</v>
      </c>
      <c r="J203" s="2" t="s">
        <v>598</v>
      </c>
      <c r="K203" s="2" t="s">
        <v>46</v>
      </c>
      <c r="L203" s="2" t="s">
        <v>47</v>
      </c>
      <c r="M203" s="6"/>
    </row>
    <row r="204">
      <c r="A204" s="6"/>
      <c r="B204" s="13" t="s">
        <v>1016</v>
      </c>
      <c r="C204" s="19" t="s">
        <v>1017</v>
      </c>
      <c r="D204" s="2" t="s">
        <v>31</v>
      </c>
      <c r="E204" s="2" t="s">
        <v>401</v>
      </c>
      <c r="F204" s="2" t="s">
        <v>39</v>
      </c>
      <c r="G204" s="2" t="s">
        <v>21</v>
      </c>
      <c r="H204" s="2" t="s">
        <v>42</v>
      </c>
      <c r="I204" s="2" t="s">
        <v>43</v>
      </c>
      <c r="J204" s="2" t="s">
        <v>598</v>
      </c>
      <c r="K204" s="2" t="s">
        <v>46</v>
      </c>
      <c r="L204" s="2" t="s">
        <v>47</v>
      </c>
      <c r="M204" s="6"/>
    </row>
    <row r="205">
      <c r="A205" s="6"/>
      <c r="B205" s="13" t="s">
        <v>1019</v>
      </c>
      <c r="C205" s="19" t="s">
        <v>1020</v>
      </c>
      <c r="D205" s="2" t="s">
        <v>31</v>
      </c>
      <c r="E205" s="2" t="s">
        <v>338</v>
      </c>
      <c r="F205" s="2" t="s">
        <v>39</v>
      </c>
      <c r="G205" s="2" t="s">
        <v>21</v>
      </c>
      <c r="H205" s="2" t="s">
        <v>42</v>
      </c>
      <c r="I205" s="2" t="s">
        <v>43</v>
      </c>
      <c r="J205" s="2" t="s">
        <v>598</v>
      </c>
      <c r="K205" s="2" t="s">
        <v>46</v>
      </c>
      <c r="L205" s="2" t="s">
        <v>47</v>
      </c>
      <c r="M205" s="6"/>
    </row>
    <row r="206">
      <c r="A206" s="6"/>
      <c r="B206" s="13" t="s">
        <v>1022</v>
      </c>
      <c r="C206" s="2"/>
      <c r="D206" s="2" t="s">
        <v>31</v>
      </c>
      <c r="E206" s="2" t="s">
        <v>101</v>
      </c>
      <c r="F206" s="2" t="s">
        <v>39</v>
      </c>
      <c r="G206" s="2" t="s">
        <v>21</v>
      </c>
      <c r="H206" s="2" t="s">
        <v>42</v>
      </c>
      <c r="I206" s="2" t="s">
        <v>43</v>
      </c>
      <c r="J206" s="2" t="s">
        <v>598</v>
      </c>
      <c r="K206" s="2" t="s">
        <v>46</v>
      </c>
      <c r="L206" s="2" t="s">
        <v>47</v>
      </c>
      <c r="M206" s="6"/>
    </row>
    <row r="207">
      <c r="A207" s="6"/>
      <c r="B207" s="13" t="s">
        <v>1023</v>
      </c>
      <c r="C207" s="19" t="s">
        <v>1024</v>
      </c>
      <c r="D207" s="2" t="s">
        <v>31</v>
      </c>
      <c r="E207" s="2" t="s">
        <v>291</v>
      </c>
      <c r="F207" s="2" t="s">
        <v>39</v>
      </c>
      <c r="G207" s="2" t="s">
        <v>21</v>
      </c>
      <c r="H207" s="2" t="s">
        <v>42</v>
      </c>
      <c r="I207" s="2" t="s">
        <v>43</v>
      </c>
      <c r="J207" s="2" t="s">
        <v>598</v>
      </c>
      <c r="K207" s="2" t="s">
        <v>46</v>
      </c>
      <c r="L207" s="2" t="s">
        <v>47</v>
      </c>
      <c r="M207" s="6"/>
    </row>
    <row r="208">
      <c r="A208" s="6"/>
      <c r="B208" s="13" t="s">
        <v>1026</v>
      </c>
      <c r="C208" s="19" t="s">
        <v>1027</v>
      </c>
      <c r="D208" s="2" t="s">
        <v>31</v>
      </c>
      <c r="E208" s="2" t="s">
        <v>301</v>
      </c>
      <c r="F208" s="2" t="s">
        <v>39</v>
      </c>
      <c r="G208" s="2" t="s">
        <v>21</v>
      </c>
      <c r="H208" s="2" t="s">
        <v>42</v>
      </c>
      <c r="I208" s="2" t="s">
        <v>43</v>
      </c>
      <c r="J208" s="2" t="s">
        <v>598</v>
      </c>
      <c r="K208" s="2" t="s">
        <v>46</v>
      </c>
      <c r="L208" s="2" t="s">
        <v>47</v>
      </c>
      <c r="M208" s="6"/>
    </row>
    <row r="209">
      <c r="A209" s="6"/>
      <c r="B209" s="13" t="s">
        <v>1028</v>
      </c>
      <c r="C209" s="19" t="s">
        <v>1029</v>
      </c>
      <c r="D209" s="2" t="s">
        <v>31</v>
      </c>
      <c r="E209" s="2" t="s">
        <v>190</v>
      </c>
      <c r="F209" s="2" t="s">
        <v>39</v>
      </c>
      <c r="G209" s="2" t="s">
        <v>21</v>
      </c>
      <c r="H209" s="2" t="s">
        <v>42</v>
      </c>
      <c r="I209" s="2" t="s">
        <v>43</v>
      </c>
      <c r="J209" s="2" t="s">
        <v>598</v>
      </c>
      <c r="K209" s="2" t="s">
        <v>46</v>
      </c>
      <c r="L209" s="2" t="s">
        <v>47</v>
      </c>
      <c r="M209" s="6"/>
    </row>
    <row r="210">
      <c r="A210" s="6"/>
      <c r="B210" s="13" t="s">
        <v>1030</v>
      </c>
      <c r="C210" s="19" t="s">
        <v>1025</v>
      </c>
      <c r="D210" s="2" t="s">
        <v>31</v>
      </c>
      <c r="E210" s="2" t="s">
        <v>199</v>
      </c>
      <c r="F210" s="2" t="s">
        <v>39</v>
      </c>
      <c r="G210" s="2" t="s">
        <v>21</v>
      </c>
      <c r="H210" s="2" t="s">
        <v>42</v>
      </c>
      <c r="I210" s="2" t="s">
        <v>43</v>
      </c>
      <c r="J210" s="2" t="s">
        <v>598</v>
      </c>
      <c r="K210" s="2" t="s">
        <v>46</v>
      </c>
      <c r="L210" s="2" t="s">
        <v>47</v>
      </c>
      <c r="M210" s="6"/>
    </row>
    <row r="211">
      <c r="A211" s="6"/>
      <c r="B211" s="13" t="s">
        <v>1031</v>
      </c>
      <c r="C211" s="2"/>
      <c r="D211" s="2" t="s">
        <v>31</v>
      </c>
      <c r="E211" s="2" t="s">
        <v>108</v>
      </c>
      <c r="F211" s="2" t="s">
        <v>39</v>
      </c>
      <c r="G211" s="2" t="s">
        <v>21</v>
      </c>
      <c r="H211" s="2" t="s">
        <v>42</v>
      </c>
      <c r="I211" s="2" t="s">
        <v>43</v>
      </c>
      <c r="J211" s="2" t="s">
        <v>598</v>
      </c>
      <c r="K211" s="2" t="s">
        <v>46</v>
      </c>
      <c r="L211" s="2" t="s">
        <v>47</v>
      </c>
      <c r="M211" s="6"/>
    </row>
    <row r="212">
      <c r="A212" s="6"/>
      <c r="B212" s="13" t="s">
        <v>1032</v>
      </c>
      <c r="C212" s="19" t="s">
        <v>1033</v>
      </c>
      <c r="D212" s="2" t="s">
        <v>31</v>
      </c>
      <c r="E212" s="2" t="s">
        <v>117</v>
      </c>
      <c r="F212" s="2" t="s">
        <v>39</v>
      </c>
      <c r="G212" s="2" t="s">
        <v>21</v>
      </c>
      <c r="H212" s="2" t="s">
        <v>42</v>
      </c>
      <c r="I212" s="2" t="s">
        <v>43</v>
      </c>
      <c r="J212" s="2" t="s">
        <v>598</v>
      </c>
      <c r="K212" s="2" t="s">
        <v>46</v>
      </c>
      <c r="L212" s="2" t="s">
        <v>47</v>
      </c>
      <c r="M212" s="6"/>
    </row>
    <row r="213">
      <c r="A213" s="6"/>
      <c r="B213" s="13" t="s">
        <v>1034</v>
      </c>
      <c r="C213" s="19" t="s">
        <v>1035</v>
      </c>
      <c r="D213" s="2" t="s">
        <v>31</v>
      </c>
      <c r="E213" s="2" t="s">
        <v>210</v>
      </c>
      <c r="F213" s="2" t="s">
        <v>39</v>
      </c>
      <c r="G213" s="2" t="s">
        <v>21</v>
      </c>
      <c r="H213" s="2" t="s">
        <v>42</v>
      </c>
      <c r="I213" s="2" t="s">
        <v>43</v>
      </c>
      <c r="J213" s="2" t="s">
        <v>598</v>
      </c>
      <c r="K213" s="2" t="s">
        <v>46</v>
      </c>
      <c r="L213" s="2" t="s">
        <v>47</v>
      </c>
      <c r="M213" s="6"/>
    </row>
    <row r="214">
      <c r="A214" s="6"/>
      <c r="B214" s="13" t="s">
        <v>1036</v>
      </c>
      <c r="C214" s="2"/>
      <c r="D214" s="2" t="s">
        <v>31</v>
      </c>
      <c r="E214" s="2" t="s">
        <v>341</v>
      </c>
      <c r="F214" s="2" t="s">
        <v>39</v>
      </c>
      <c r="G214" s="2" t="s">
        <v>21</v>
      </c>
      <c r="H214" s="2" t="s">
        <v>42</v>
      </c>
      <c r="I214" s="2" t="s">
        <v>43</v>
      </c>
      <c r="J214" s="2" t="s">
        <v>598</v>
      </c>
      <c r="K214" s="2" t="s">
        <v>46</v>
      </c>
      <c r="L214" s="2" t="s">
        <v>47</v>
      </c>
      <c r="M214" s="6"/>
    </row>
    <row r="215">
      <c r="A215" s="6"/>
      <c r="B215" s="13" t="s">
        <v>1037</v>
      </c>
      <c r="C215" s="19" t="s">
        <v>1038</v>
      </c>
      <c r="D215" s="2" t="s">
        <v>31</v>
      </c>
      <c r="E215" s="2" t="s">
        <v>311</v>
      </c>
      <c r="F215" s="2" t="s">
        <v>39</v>
      </c>
      <c r="G215" s="2" t="s">
        <v>21</v>
      </c>
      <c r="H215" s="2" t="s">
        <v>42</v>
      </c>
      <c r="I215" s="2" t="s">
        <v>43</v>
      </c>
      <c r="J215" s="2" t="s">
        <v>598</v>
      </c>
      <c r="K215" s="2" t="s">
        <v>46</v>
      </c>
      <c r="L215" s="2" t="s">
        <v>47</v>
      </c>
      <c r="M215" s="6"/>
    </row>
    <row r="216">
      <c r="A216" s="6"/>
      <c r="B216" s="13" t="s">
        <v>1039</v>
      </c>
      <c r="C216" s="2"/>
      <c r="D216" s="2" t="s">
        <v>31</v>
      </c>
      <c r="E216" s="2" t="s">
        <v>75</v>
      </c>
      <c r="F216" s="2" t="s">
        <v>39</v>
      </c>
      <c r="G216" s="2" t="s">
        <v>21</v>
      </c>
      <c r="H216" s="2" t="s">
        <v>42</v>
      </c>
      <c r="I216" s="2" t="s">
        <v>43</v>
      </c>
      <c r="J216" s="2" t="s">
        <v>598</v>
      </c>
      <c r="K216" s="2" t="s">
        <v>46</v>
      </c>
      <c r="L216" s="2" t="s">
        <v>47</v>
      </c>
      <c r="M216" s="6"/>
    </row>
    <row r="217">
      <c r="A217" s="6"/>
      <c r="B217" s="13" t="s">
        <v>1040</v>
      </c>
      <c r="C217" s="19" t="s">
        <v>1041</v>
      </c>
      <c r="D217" s="2" t="s">
        <v>31</v>
      </c>
      <c r="E217" s="2" t="s">
        <v>480</v>
      </c>
      <c r="F217" s="2" t="s">
        <v>39</v>
      </c>
      <c r="G217" s="2" t="s">
        <v>21</v>
      </c>
      <c r="H217" s="2" t="s">
        <v>42</v>
      </c>
      <c r="I217" s="2" t="s">
        <v>43</v>
      </c>
      <c r="J217" s="2" t="s">
        <v>598</v>
      </c>
      <c r="K217" s="2" t="s">
        <v>46</v>
      </c>
      <c r="L217" s="2" t="s">
        <v>47</v>
      </c>
      <c r="M217" s="6"/>
    </row>
    <row r="218">
      <c r="A218" s="6"/>
      <c r="B218" s="13" t="s">
        <v>1042</v>
      </c>
      <c r="C218" s="19" t="s">
        <v>1043</v>
      </c>
      <c r="D218" s="2" t="s">
        <v>31</v>
      </c>
      <c r="E218" s="2" t="s">
        <v>1044</v>
      </c>
      <c r="F218" s="2" t="s">
        <v>39</v>
      </c>
      <c r="G218" s="2" t="s">
        <v>21</v>
      </c>
      <c r="H218" s="2" t="s">
        <v>42</v>
      </c>
      <c r="I218" s="2" t="s">
        <v>43</v>
      </c>
      <c r="J218" s="2" t="s">
        <v>598</v>
      </c>
      <c r="K218" s="2" t="s">
        <v>46</v>
      </c>
      <c r="L218" s="2" t="s">
        <v>47</v>
      </c>
      <c r="M218" s="6"/>
    </row>
    <row r="219">
      <c r="A219" s="6"/>
      <c r="B219" s="13" t="s">
        <v>1045</v>
      </c>
      <c r="C219" s="19" t="s">
        <v>1046</v>
      </c>
      <c r="D219" s="2" t="s">
        <v>31</v>
      </c>
      <c r="E219" s="2" t="s">
        <v>63</v>
      </c>
      <c r="F219" s="2" t="s">
        <v>39</v>
      </c>
      <c r="G219" s="2" t="s">
        <v>21</v>
      </c>
      <c r="H219" s="2" t="s">
        <v>42</v>
      </c>
      <c r="I219" s="2" t="s">
        <v>43</v>
      </c>
      <c r="J219" s="2" t="s">
        <v>598</v>
      </c>
      <c r="K219" s="2" t="s">
        <v>46</v>
      </c>
      <c r="L219" s="2" t="s">
        <v>47</v>
      </c>
      <c r="M219" s="6"/>
    </row>
    <row r="220">
      <c r="A220" s="6"/>
      <c r="B220" s="13" t="s">
        <v>1047</v>
      </c>
      <c r="C220" s="19" t="s">
        <v>1048</v>
      </c>
      <c r="D220" s="2" t="s">
        <v>31</v>
      </c>
      <c r="E220" s="2" t="s">
        <v>155</v>
      </c>
      <c r="F220" s="2" t="s">
        <v>39</v>
      </c>
      <c r="G220" s="2" t="s">
        <v>21</v>
      </c>
      <c r="H220" s="2" t="s">
        <v>42</v>
      </c>
      <c r="I220" s="2" t="s">
        <v>43</v>
      </c>
      <c r="J220" s="2" t="s">
        <v>598</v>
      </c>
      <c r="K220" s="2" t="s">
        <v>46</v>
      </c>
      <c r="L220" s="2" t="s">
        <v>47</v>
      </c>
      <c r="M220" s="6"/>
    </row>
    <row r="221">
      <c r="A221" s="6"/>
      <c r="B221" s="13" t="s">
        <v>1049</v>
      </c>
      <c r="C221" s="19" t="s">
        <v>1050</v>
      </c>
      <c r="D221" s="2" t="s">
        <v>31</v>
      </c>
      <c r="E221" s="2" t="s">
        <v>415</v>
      </c>
      <c r="F221" s="2" t="s">
        <v>39</v>
      </c>
      <c r="G221" s="2" t="s">
        <v>21</v>
      </c>
      <c r="H221" s="2" t="s">
        <v>42</v>
      </c>
      <c r="I221" s="2" t="s">
        <v>43</v>
      </c>
      <c r="J221" s="2" t="s">
        <v>598</v>
      </c>
      <c r="K221" s="2" t="s">
        <v>46</v>
      </c>
      <c r="L221" s="2" t="s">
        <v>47</v>
      </c>
      <c r="M221" s="6"/>
    </row>
    <row r="222">
      <c r="A222" s="6"/>
      <c r="B222" s="13" t="s">
        <v>1051</v>
      </c>
      <c r="C222" s="19" t="s">
        <v>931</v>
      </c>
      <c r="D222" s="2" t="s">
        <v>31</v>
      </c>
      <c r="E222" s="2" t="s">
        <v>434</v>
      </c>
      <c r="F222" s="2" t="s">
        <v>39</v>
      </c>
      <c r="G222" s="2" t="s">
        <v>21</v>
      </c>
      <c r="H222" s="2" t="s">
        <v>42</v>
      </c>
      <c r="I222" s="2" t="s">
        <v>43</v>
      </c>
      <c r="J222" s="2" t="s">
        <v>598</v>
      </c>
      <c r="K222" s="2" t="s">
        <v>46</v>
      </c>
      <c r="L222" s="2" t="s">
        <v>47</v>
      </c>
      <c r="M222" s="6"/>
    </row>
    <row r="223">
      <c r="A223" s="6"/>
      <c r="B223" s="13" t="s">
        <v>1052</v>
      </c>
      <c r="C223" s="2"/>
      <c r="D223" s="2" t="s">
        <v>31</v>
      </c>
      <c r="E223" s="2" t="s">
        <v>451</v>
      </c>
      <c r="F223" s="2" t="s">
        <v>39</v>
      </c>
      <c r="G223" s="2" t="s">
        <v>21</v>
      </c>
      <c r="H223" s="2" t="s">
        <v>42</v>
      </c>
      <c r="I223" s="2" t="s">
        <v>43</v>
      </c>
      <c r="J223" s="2" t="s">
        <v>598</v>
      </c>
      <c r="K223" s="2" t="s">
        <v>46</v>
      </c>
      <c r="L223" s="2" t="s">
        <v>47</v>
      </c>
      <c r="M223" s="6"/>
    </row>
    <row r="224">
      <c r="A224" s="6"/>
      <c r="B224" s="13" t="s">
        <v>1053</v>
      </c>
      <c r="C224" s="2"/>
      <c r="D224" s="2" t="s">
        <v>31</v>
      </c>
      <c r="E224" s="2" t="s">
        <v>1054</v>
      </c>
      <c r="F224" s="2" t="s">
        <v>39</v>
      </c>
      <c r="G224" s="2" t="s">
        <v>21</v>
      </c>
      <c r="H224" s="2" t="s">
        <v>42</v>
      </c>
      <c r="I224" s="2" t="s">
        <v>43</v>
      </c>
      <c r="J224" s="2" t="s">
        <v>598</v>
      </c>
      <c r="K224" s="2" t="s">
        <v>46</v>
      </c>
      <c r="L224" s="2" t="s">
        <v>47</v>
      </c>
      <c r="M224" s="6"/>
    </row>
    <row r="225">
      <c r="A225" s="6"/>
      <c r="B225" s="13" t="s">
        <v>1055</v>
      </c>
      <c r="C225" s="2"/>
      <c r="D225" s="2" t="s">
        <v>31</v>
      </c>
      <c r="E225" s="2" t="s">
        <v>136</v>
      </c>
      <c r="F225" s="2" t="s">
        <v>39</v>
      </c>
      <c r="G225" s="2" t="s">
        <v>21</v>
      </c>
      <c r="H225" s="2" t="s">
        <v>42</v>
      </c>
      <c r="I225" s="2" t="s">
        <v>43</v>
      </c>
      <c r="J225" s="2" t="s">
        <v>598</v>
      </c>
      <c r="K225" s="2" t="s">
        <v>46</v>
      </c>
      <c r="L225" s="2" t="s">
        <v>47</v>
      </c>
      <c r="M225" s="6"/>
    </row>
    <row r="226">
      <c r="A226" s="6"/>
      <c r="B226" s="13" t="s">
        <v>1056</v>
      </c>
      <c r="C226" s="19" t="s">
        <v>1057</v>
      </c>
      <c r="D226" s="2" t="s">
        <v>31</v>
      </c>
      <c r="E226" s="2" t="s">
        <v>1058</v>
      </c>
      <c r="F226" s="2" t="s">
        <v>39</v>
      </c>
      <c r="G226" s="2" t="s">
        <v>21</v>
      </c>
      <c r="H226" s="2" t="s">
        <v>42</v>
      </c>
      <c r="I226" s="2" t="s">
        <v>43</v>
      </c>
      <c r="J226" s="2" t="s">
        <v>598</v>
      </c>
      <c r="K226" s="2" t="s">
        <v>46</v>
      </c>
      <c r="L226" s="2" t="s">
        <v>47</v>
      </c>
      <c r="M226" s="6"/>
    </row>
    <row r="227">
      <c r="A227" s="6"/>
      <c r="B227" s="13" t="s">
        <v>1059</v>
      </c>
      <c r="C227" s="2"/>
      <c r="D227" s="2" t="s">
        <v>31</v>
      </c>
      <c r="E227" s="2" t="s">
        <v>441</v>
      </c>
      <c r="F227" s="2" t="s">
        <v>39</v>
      </c>
      <c r="G227" s="2" t="s">
        <v>21</v>
      </c>
      <c r="H227" s="2" t="s">
        <v>42</v>
      </c>
      <c r="I227" s="2" t="s">
        <v>43</v>
      </c>
      <c r="J227" s="2" t="s">
        <v>598</v>
      </c>
      <c r="K227" s="2" t="s">
        <v>46</v>
      </c>
      <c r="L227" s="2" t="s">
        <v>47</v>
      </c>
      <c r="M227" s="6"/>
    </row>
    <row r="228">
      <c r="A228" s="6"/>
      <c r="B228" s="13" t="s">
        <v>1060</v>
      </c>
      <c r="C228" s="2"/>
      <c r="D228" s="2" t="s">
        <v>31</v>
      </c>
      <c r="E228" s="2" t="s">
        <v>457</v>
      </c>
      <c r="F228" s="2" t="s">
        <v>39</v>
      </c>
      <c r="G228" s="2" t="s">
        <v>21</v>
      </c>
      <c r="H228" s="2" t="s">
        <v>42</v>
      </c>
      <c r="I228" s="2" t="s">
        <v>43</v>
      </c>
      <c r="J228" s="2" t="s">
        <v>598</v>
      </c>
      <c r="K228" s="2" t="s">
        <v>46</v>
      </c>
      <c r="L228" s="2" t="s">
        <v>47</v>
      </c>
      <c r="M228" s="6"/>
    </row>
    <row r="229">
      <c r="A229" s="6"/>
      <c r="B229" s="13" t="s">
        <v>1062</v>
      </c>
      <c r="C229" s="19" t="s">
        <v>1063</v>
      </c>
      <c r="D229" s="2" t="s">
        <v>31</v>
      </c>
      <c r="E229" s="2" t="s">
        <v>1064</v>
      </c>
      <c r="F229" s="2" t="s">
        <v>39</v>
      </c>
      <c r="G229" s="2" t="s">
        <v>21</v>
      </c>
      <c r="H229" s="2" t="s">
        <v>42</v>
      </c>
      <c r="I229" s="2" t="s">
        <v>43</v>
      </c>
      <c r="J229" s="2" t="s">
        <v>598</v>
      </c>
      <c r="K229" s="2" t="s">
        <v>46</v>
      </c>
      <c r="L229" s="2" t="s">
        <v>47</v>
      </c>
      <c r="M229" s="6"/>
    </row>
    <row r="230">
      <c r="A230" s="6"/>
      <c r="B230" s="13" t="s">
        <v>1065</v>
      </c>
      <c r="C230" s="19" t="s">
        <v>1066</v>
      </c>
      <c r="D230" s="2" t="s">
        <v>31</v>
      </c>
      <c r="E230" s="2" t="s">
        <v>200</v>
      </c>
      <c r="F230" s="2" t="s">
        <v>39</v>
      </c>
      <c r="G230" s="2" t="s">
        <v>21</v>
      </c>
      <c r="H230" s="2" t="s">
        <v>42</v>
      </c>
      <c r="I230" s="2" t="s">
        <v>43</v>
      </c>
      <c r="J230" s="2" t="s">
        <v>598</v>
      </c>
      <c r="K230" s="2" t="s">
        <v>46</v>
      </c>
      <c r="L230" s="2" t="s">
        <v>47</v>
      </c>
      <c r="M230" s="6"/>
    </row>
    <row r="231">
      <c r="A231" s="6"/>
      <c r="B231" s="13" t="s">
        <v>1068</v>
      </c>
      <c r="C231" s="2"/>
      <c r="D231" s="2" t="s">
        <v>31</v>
      </c>
      <c r="E231" s="2" t="s">
        <v>184</v>
      </c>
      <c r="F231" s="2" t="s">
        <v>39</v>
      </c>
      <c r="G231" s="2" t="s">
        <v>21</v>
      </c>
      <c r="H231" s="2" t="s">
        <v>42</v>
      </c>
      <c r="I231" s="2" t="s">
        <v>43</v>
      </c>
      <c r="J231" s="2" t="s">
        <v>598</v>
      </c>
      <c r="K231" s="2" t="s">
        <v>46</v>
      </c>
      <c r="L231" s="2" t="s">
        <v>47</v>
      </c>
      <c r="M231" s="6"/>
    </row>
    <row r="232">
      <c r="A232" s="6"/>
      <c r="B232" s="13" t="s">
        <v>1069</v>
      </c>
      <c r="C232" s="8" t="s">
        <v>1070</v>
      </c>
      <c r="D232" s="2" t="s">
        <v>31</v>
      </c>
      <c r="E232" s="2" t="s">
        <v>464</v>
      </c>
      <c r="F232" s="2" t="s">
        <v>39</v>
      </c>
      <c r="G232" s="2" t="s">
        <v>21</v>
      </c>
      <c r="H232" s="2" t="s">
        <v>42</v>
      </c>
      <c r="I232" s="2" t="s">
        <v>43</v>
      </c>
      <c r="J232" s="2" t="s">
        <v>598</v>
      </c>
      <c r="K232" s="2" t="s">
        <v>46</v>
      </c>
      <c r="L232" s="2" t="s">
        <v>47</v>
      </c>
      <c r="M232" s="8" t="s">
        <v>990</v>
      </c>
    </row>
    <row r="233">
      <c r="A233" s="6"/>
      <c r="B233" s="13" t="s">
        <v>1073</v>
      </c>
      <c r="C233" s="19" t="s">
        <v>1074</v>
      </c>
      <c r="D233" s="2" t="s">
        <v>31</v>
      </c>
      <c r="E233" s="2" t="s">
        <v>251</v>
      </c>
      <c r="F233" s="2" t="s">
        <v>39</v>
      </c>
      <c r="G233" s="2" t="s">
        <v>21</v>
      </c>
      <c r="H233" s="2" t="s">
        <v>42</v>
      </c>
      <c r="I233" s="2" t="s">
        <v>43</v>
      </c>
      <c r="J233" s="2" t="s">
        <v>598</v>
      </c>
      <c r="K233" s="2" t="s">
        <v>46</v>
      </c>
      <c r="L233" s="2" t="s">
        <v>47</v>
      </c>
      <c r="M233" s="6"/>
    </row>
    <row r="234">
      <c r="A234" s="6"/>
      <c r="B234" s="13" t="s">
        <v>1075</v>
      </c>
      <c r="C234" s="19" t="s">
        <v>1076</v>
      </c>
      <c r="D234" s="2" t="s">
        <v>31</v>
      </c>
      <c r="E234" s="2" t="s">
        <v>568</v>
      </c>
      <c r="F234" s="2" t="s">
        <v>39</v>
      </c>
      <c r="G234" s="2" t="s">
        <v>21</v>
      </c>
      <c r="H234" s="2" t="s">
        <v>42</v>
      </c>
      <c r="I234" s="2" t="s">
        <v>43</v>
      </c>
      <c r="J234" s="2" t="s">
        <v>598</v>
      </c>
      <c r="K234" s="2" t="s">
        <v>46</v>
      </c>
      <c r="L234" s="2" t="s">
        <v>47</v>
      </c>
      <c r="M234" s="6"/>
    </row>
    <row r="235">
      <c r="A235" s="6"/>
      <c r="B235" s="13" t="s">
        <v>1078</v>
      </c>
      <c r="C235" s="2"/>
      <c r="D235" s="2" t="s">
        <v>31</v>
      </c>
      <c r="E235" s="2" t="s">
        <v>357</v>
      </c>
      <c r="F235" s="2" t="s">
        <v>39</v>
      </c>
      <c r="G235" s="2" t="s">
        <v>21</v>
      </c>
      <c r="H235" s="2" t="s">
        <v>42</v>
      </c>
      <c r="I235" s="2" t="s">
        <v>43</v>
      </c>
      <c r="J235" s="2" t="s">
        <v>598</v>
      </c>
      <c r="K235" s="2" t="s">
        <v>46</v>
      </c>
      <c r="L235" s="2" t="s">
        <v>47</v>
      </c>
      <c r="M235" s="6"/>
    </row>
    <row r="236">
      <c r="A236" s="6"/>
      <c r="B236" s="13" t="s">
        <v>1079</v>
      </c>
      <c r="C236" s="19" t="s">
        <v>1080</v>
      </c>
      <c r="D236" s="2" t="s">
        <v>31</v>
      </c>
      <c r="E236" s="2" t="s">
        <v>422</v>
      </c>
      <c r="F236" s="2" t="s">
        <v>39</v>
      </c>
      <c r="G236" s="2" t="s">
        <v>21</v>
      </c>
      <c r="H236" s="2" t="s">
        <v>42</v>
      </c>
      <c r="I236" s="2" t="s">
        <v>43</v>
      </c>
      <c r="J236" s="2" t="s">
        <v>598</v>
      </c>
      <c r="K236" s="2" t="s">
        <v>46</v>
      </c>
      <c r="L236" s="2" t="s">
        <v>47</v>
      </c>
      <c r="M236" s="6"/>
    </row>
    <row r="237">
      <c r="A237" s="6"/>
      <c r="B237" s="13" t="s">
        <v>1081</v>
      </c>
      <c r="C237" s="2"/>
      <c r="D237" s="2" t="s">
        <v>31</v>
      </c>
      <c r="E237" s="2" t="s">
        <v>279</v>
      </c>
      <c r="F237" s="2" t="s">
        <v>39</v>
      </c>
      <c r="G237" s="2" t="s">
        <v>21</v>
      </c>
      <c r="H237" s="2" t="s">
        <v>42</v>
      </c>
      <c r="I237" s="2" t="s">
        <v>43</v>
      </c>
      <c r="J237" s="2" t="s">
        <v>598</v>
      </c>
      <c r="K237" s="2" t="s">
        <v>46</v>
      </c>
      <c r="L237" s="2" t="s">
        <v>47</v>
      </c>
      <c r="M237" s="6"/>
    </row>
    <row r="238">
      <c r="A238" s="6"/>
      <c r="B238" s="13" t="s">
        <v>1083</v>
      </c>
      <c r="C238" s="8" t="s">
        <v>1084</v>
      </c>
      <c r="D238" s="2" t="s">
        <v>31</v>
      </c>
      <c r="E238" s="2" t="s">
        <v>161</v>
      </c>
      <c r="F238" s="2" t="s">
        <v>39</v>
      </c>
      <c r="G238" s="2" t="s">
        <v>21</v>
      </c>
      <c r="H238" s="2" t="s">
        <v>42</v>
      </c>
      <c r="I238" s="2" t="s">
        <v>43</v>
      </c>
      <c r="J238" s="2" t="s">
        <v>598</v>
      </c>
      <c r="K238" s="2" t="s">
        <v>46</v>
      </c>
      <c r="L238" s="2" t="s">
        <v>47</v>
      </c>
      <c r="M238" s="6"/>
    </row>
    <row r="239">
      <c r="A239" s="6"/>
      <c r="B239" s="13"/>
      <c r="C239" s="21"/>
      <c r="D239" s="6"/>
      <c r="E239" s="6"/>
      <c r="F239" s="2"/>
      <c r="G239" s="2"/>
      <c r="H239" s="2"/>
      <c r="I239" s="6"/>
      <c r="J239" s="6"/>
      <c r="K239" s="6"/>
      <c r="L239" s="6"/>
      <c r="M239" s="6"/>
    </row>
    <row r="240">
      <c r="A240" s="6"/>
      <c r="B240" s="13" t="s">
        <v>1086</v>
      </c>
      <c r="C240" s="19" t="s">
        <v>1087</v>
      </c>
      <c r="D240" s="2" t="s">
        <v>31</v>
      </c>
      <c r="E240" s="2" t="s">
        <v>258</v>
      </c>
      <c r="F240" s="2" t="s">
        <v>39</v>
      </c>
      <c r="G240" s="2" t="s">
        <v>21</v>
      </c>
      <c r="H240" s="2" t="s">
        <v>42</v>
      </c>
      <c r="I240" s="2" t="s">
        <v>43</v>
      </c>
      <c r="J240" s="2" t="s">
        <v>598</v>
      </c>
      <c r="K240" s="2" t="s">
        <v>46</v>
      </c>
      <c r="L240" s="2" t="s">
        <v>47</v>
      </c>
      <c r="M240" s="6"/>
    </row>
    <row r="241">
      <c r="A241" s="6"/>
      <c r="B241" s="13" t="s">
        <v>1088</v>
      </c>
      <c r="C241" s="19" t="s">
        <v>1089</v>
      </c>
      <c r="D241" s="2" t="s">
        <v>31</v>
      </c>
      <c r="E241" s="2" t="s">
        <v>66</v>
      </c>
      <c r="F241" s="2" t="s">
        <v>39</v>
      </c>
      <c r="G241" s="2" t="s">
        <v>21</v>
      </c>
      <c r="H241" s="2" t="s">
        <v>42</v>
      </c>
      <c r="I241" s="2" t="s">
        <v>43</v>
      </c>
      <c r="J241" s="2" t="s">
        <v>45</v>
      </c>
      <c r="K241" s="2" t="s">
        <v>46</v>
      </c>
      <c r="L241" s="2" t="s">
        <v>47</v>
      </c>
      <c r="M241" s="6"/>
    </row>
    <row r="242">
      <c r="A242" s="6"/>
      <c r="B242" s="13" t="s">
        <v>1090</v>
      </c>
      <c r="C242" s="19" t="s">
        <v>1091</v>
      </c>
      <c r="D242" s="2" t="s">
        <v>31</v>
      </c>
      <c r="E242" s="2" t="s">
        <v>480</v>
      </c>
      <c r="F242" s="2" t="s">
        <v>39</v>
      </c>
      <c r="G242" s="2" t="s">
        <v>21</v>
      </c>
      <c r="H242" s="2" t="s">
        <v>42</v>
      </c>
      <c r="I242" s="2" t="s">
        <v>43</v>
      </c>
      <c r="J242" s="2" t="s">
        <v>45</v>
      </c>
      <c r="K242" s="2" t="s">
        <v>46</v>
      </c>
      <c r="L242" s="2" t="s">
        <v>47</v>
      </c>
      <c r="M242" s="6"/>
    </row>
    <row r="243">
      <c r="A243" s="6"/>
      <c r="B243" s="13" t="s">
        <v>1092</v>
      </c>
      <c r="C243" s="19" t="s">
        <v>1093</v>
      </c>
      <c r="D243" s="2" t="s">
        <v>31</v>
      </c>
      <c r="E243" s="2" t="s">
        <v>193</v>
      </c>
      <c r="F243" s="2" t="s">
        <v>39</v>
      </c>
      <c r="G243" s="2" t="s">
        <v>21</v>
      </c>
      <c r="H243" s="2" t="s">
        <v>42</v>
      </c>
      <c r="I243" s="2" t="s">
        <v>43</v>
      </c>
      <c r="J243" s="2" t="s">
        <v>45</v>
      </c>
      <c r="K243" s="2" t="s">
        <v>46</v>
      </c>
      <c r="L243" s="2" t="s">
        <v>47</v>
      </c>
      <c r="M243" s="6"/>
    </row>
    <row r="244">
      <c r="A244" s="6"/>
      <c r="B244" s="13" t="s">
        <v>1094</v>
      </c>
      <c r="C244" s="23" t="s">
        <v>1095</v>
      </c>
      <c r="D244" s="2" t="s">
        <v>31</v>
      </c>
      <c r="E244" s="2" t="s">
        <v>1097</v>
      </c>
      <c r="F244" s="2" t="s">
        <v>39</v>
      </c>
      <c r="G244" s="2" t="s">
        <v>21</v>
      </c>
      <c r="H244" s="2" t="s">
        <v>42</v>
      </c>
      <c r="I244" s="2" t="s">
        <v>43</v>
      </c>
      <c r="J244" s="2" t="s">
        <v>45</v>
      </c>
      <c r="K244" s="2" t="s">
        <v>46</v>
      </c>
      <c r="L244" s="2" t="s">
        <v>47</v>
      </c>
      <c r="M244" s="6"/>
    </row>
    <row r="245">
      <c r="A245" s="6"/>
      <c r="B245" s="13" t="s">
        <v>1098</v>
      </c>
      <c r="C245" s="19" t="s">
        <v>1099</v>
      </c>
      <c r="D245" s="2" t="s">
        <v>31</v>
      </c>
      <c r="E245" s="2" t="s">
        <v>283</v>
      </c>
      <c r="F245" s="2" t="s">
        <v>39</v>
      </c>
      <c r="G245" s="2" t="s">
        <v>21</v>
      </c>
      <c r="H245" s="2" t="s">
        <v>42</v>
      </c>
      <c r="I245" s="2" t="s">
        <v>43</v>
      </c>
      <c r="J245" s="2" t="s">
        <v>45</v>
      </c>
      <c r="K245" s="2" t="s">
        <v>46</v>
      </c>
      <c r="L245" s="2" t="s">
        <v>47</v>
      </c>
      <c r="M245" s="6"/>
    </row>
    <row r="246">
      <c r="A246" s="6"/>
      <c r="B246" s="13" t="s">
        <v>1100</v>
      </c>
      <c r="C246" s="23" t="s">
        <v>1101</v>
      </c>
      <c r="D246" s="2" t="s">
        <v>31</v>
      </c>
      <c r="E246" s="2" t="s">
        <v>1103</v>
      </c>
      <c r="F246" s="2" t="s">
        <v>39</v>
      </c>
      <c r="G246" s="2" t="s">
        <v>21</v>
      </c>
      <c r="H246" s="2" t="s">
        <v>42</v>
      </c>
      <c r="I246" s="2" t="s">
        <v>43</v>
      </c>
      <c r="J246" s="2" t="s">
        <v>45</v>
      </c>
      <c r="K246" s="2" t="s">
        <v>46</v>
      </c>
      <c r="L246" s="2" t="s">
        <v>47</v>
      </c>
      <c r="M246" s="6"/>
    </row>
    <row r="247">
      <c r="A247" s="6"/>
      <c r="B247" s="13" t="s">
        <v>1104</v>
      </c>
      <c r="C247" s="23" t="s">
        <v>1105</v>
      </c>
      <c r="D247" s="2" t="s">
        <v>31</v>
      </c>
      <c r="E247" s="2" t="s">
        <v>148</v>
      </c>
      <c r="F247" s="2" t="s">
        <v>39</v>
      </c>
      <c r="G247" s="2" t="s">
        <v>21</v>
      </c>
      <c r="H247" s="2" t="s">
        <v>42</v>
      </c>
      <c r="I247" s="2" t="s">
        <v>43</v>
      </c>
      <c r="J247" s="2" t="s">
        <v>45</v>
      </c>
      <c r="K247" s="2" t="s">
        <v>46</v>
      </c>
      <c r="L247" s="2" t="s">
        <v>47</v>
      </c>
      <c r="M247" s="6"/>
    </row>
    <row r="248">
      <c r="A248" s="6"/>
      <c r="B248" s="24" t="s">
        <v>1107</v>
      </c>
      <c r="C248" s="25" t="s">
        <v>1105</v>
      </c>
      <c r="D248" s="2" t="s">
        <v>31</v>
      </c>
      <c r="E248" s="2" t="s">
        <v>148</v>
      </c>
      <c r="F248" s="2" t="s">
        <v>39</v>
      </c>
      <c r="G248" s="2" t="s">
        <v>21</v>
      </c>
      <c r="H248" s="2" t="s">
        <v>42</v>
      </c>
      <c r="I248" s="2" t="s">
        <v>43</v>
      </c>
      <c r="J248" s="2" t="s">
        <v>45</v>
      </c>
      <c r="K248" s="2" t="s">
        <v>46</v>
      </c>
      <c r="L248" s="2" t="s">
        <v>47</v>
      </c>
      <c r="M248" s="6"/>
    </row>
    <row r="249">
      <c r="A249" s="6"/>
      <c r="B249" s="7" t="s">
        <v>852</v>
      </c>
      <c r="C249" s="8" t="s">
        <v>18</v>
      </c>
      <c r="D249" s="2" t="s">
        <v>28</v>
      </c>
      <c r="E249" s="6" t="s">
        <v>0</v>
      </c>
      <c r="F249" s="2" t="s">
        <v>39</v>
      </c>
      <c r="G249" s="2" t="s">
        <v>21</v>
      </c>
      <c r="H249" s="2" t="s">
        <v>42</v>
      </c>
      <c r="I249" s="2" t="s">
        <v>43</v>
      </c>
      <c r="J249" s="2" t="s">
        <v>45</v>
      </c>
      <c r="K249" s="2" t="s">
        <v>46</v>
      </c>
      <c r="L249" s="2" t="s">
        <v>47</v>
      </c>
      <c r="M249" s="8" t="s">
        <v>15</v>
      </c>
    </row>
    <row r="250">
      <c r="A250" s="6"/>
      <c r="B250" s="7" t="s">
        <v>853</v>
      </c>
      <c r="C250" s="8" t="s">
        <v>51</v>
      </c>
      <c r="D250" s="2" t="s">
        <v>31</v>
      </c>
      <c r="E250" s="6" t="s">
        <v>49</v>
      </c>
      <c r="F250" s="2" t="s">
        <v>39</v>
      </c>
      <c r="G250" s="2" t="s">
        <v>21</v>
      </c>
      <c r="H250" s="2" t="s">
        <v>42</v>
      </c>
      <c r="I250" s="2" t="s">
        <v>43</v>
      </c>
      <c r="J250" s="2" t="s">
        <v>45</v>
      </c>
      <c r="K250" s="2" t="s">
        <v>46</v>
      </c>
      <c r="L250" s="2" t="s">
        <v>47</v>
      </c>
      <c r="M250" s="8" t="s">
        <v>50</v>
      </c>
    </row>
    <row r="251">
      <c r="A251" s="6"/>
      <c r="B251" s="7" t="s">
        <v>854</v>
      </c>
      <c r="C251" s="8" t="s">
        <v>58</v>
      </c>
      <c r="D251" s="2" t="s">
        <v>31</v>
      </c>
      <c r="E251" s="6" t="s">
        <v>56</v>
      </c>
      <c r="F251" s="2" t="s">
        <v>39</v>
      </c>
      <c r="G251" s="2" t="s">
        <v>21</v>
      </c>
      <c r="H251" s="2" t="s">
        <v>42</v>
      </c>
      <c r="I251" s="2" t="s">
        <v>43</v>
      </c>
      <c r="J251" s="2" t="s">
        <v>45</v>
      </c>
      <c r="K251" s="2" t="s">
        <v>46</v>
      </c>
      <c r="L251" s="2" t="s">
        <v>47</v>
      </c>
      <c r="M251" s="8" t="s">
        <v>57</v>
      </c>
    </row>
    <row r="252">
      <c r="A252" s="6"/>
      <c r="B252" s="7" t="s">
        <v>855</v>
      </c>
      <c r="C252" s="8" t="s">
        <v>65</v>
      </c>
      <c r="D252" s="2" t="s">
        <v>31</v>
      </c>
      <c r="E252" s="6" t="s">
        <v>63</v>
      </c>
      <c r="F252" s="2" t="s">
        <v>39</v>
      </c>
      <c r="G252" s="2" t="s">
        <v>21</v>
      </c>
      <c r="H252" s="2" t="s">
        <v>42</v>
      </c>
      <c r="I252" s="2" t="s">
        <v>43</v>
      </c>
      <c r="J252" s="2" t="s">
        <v>45</v>
      </c>
      <c r="K252" s="2" t="s">
        <v>46</v>
      </c>
      <c r="L252" s="2" t="s">
        <v>47</v>
      </c>
      <c r="M252" s="8" t="s">
        <v>64</v>
      </c>
    </row>
    <row r="253">
      <c r="A253" s="6"/>
      <c r="B253" s="7" t="s">
        <v>856</v>
      </c>
      <c r="C253" s="8" t="s">
        <v>72</v>
      </c>
      <c r="D253" s="2" t="s">
        <v>31</v>
      </c>
      <c r="E253" s="6" t="s">
        <v>69</v>
      </c>
      <c r="F253" s="2" t="s">
        <v>39</v>
      </c>
      <c r="G253" s="2" t="s">
        <v>21</v>
      </c>
      <c r="H253" s="2" t="s">
        <v>42</v>
      </c>
      <c r="I253" s="2" t="s">
        <v>43</v>
      </c>
      <c r="J253" s="2" t="s">
        <v>45</v>
      </c>
      <c r="K253" s="2" t="s">
        <v>46</v>
      </c>
      <c r="L253" s="2" t="s">
        <v>47</v>
      </c>
      <c r="M253" s="8" t="s">
        <v>70</v>
      </c>
    </row>
    <row r="254">
      <c r="A254" s="6"/>
      <c r="B254" s="7" t="s">
        <v>857</v>
      </c>
      <c r="C254" s="8" t="s">
        <v>80</v>
      </c>
      <c r="D254" s="2" t="s">
        <v>31</v>
      </c>
      <c r="E254" s="6" t="s">
        <v>78</v>
      </c>
      <c r="F254" s="2" t="s">
        <v>39</v>
      </c>
      <c r="G254" s="2" t="s">
        <v>21</v>
      </c>
      <c r="H254" s="2" t="s">
        <v>42</v>
      </c>
      <c r="I254" s="2" t="s">
        <v>43</v>
      </c>
      <c r="J254" s="2" t="s">
        <v>45</v>
      </c>
      <c r="K254" s="2" t="s">
        <v>46</v>
      </c>
      <c r="L254" s="2" t="s">
        <v>47</v>
      </c>
      <c r="M254" s="8" t="s">
        <v>79</v>
      </c>
    </row>
    <row r="255">
      <c r="A255" s="6"/>
      <c r="B255" s="7" t="s">
        <v>858</v>
      </c>
      <c r="C255" s="8" t="s">
        <v>88</v>
      </c>
      <c r="D255" s="2" t="s">
        <v>31</v>
      </c>
      <c r="E255" s="6" t="s">
        <v>86</v>
      </c>
      <c r="F255" s="2" t="s">
        <v>39</v>
      </c>
      <c r="G255" s="2" t="s">
        <v>21</v>
      </c>
      <c r="H255" s="2" t="s">
        <v>42</v>
      </c>
      <c r="I255" s="2" t="s">
        <v>43</v>
      </c>
      <c r="J255" s="2" t="s">
        <v>45</v>
      </c>
      <c r="K255" s="2" t="s">
        <v>46</v>
      </c>
      <c r="L255" s="2" t="s">
        <v>47</v>
      </c>
      <c r="M255" s="8" t="s">
        <v>87</v>
      </c>
    </row>
    <row r="256">
      <c r="A256" s="6"/>
      <c r="B256" s="7" t="s">
        <v>859</v>
      </c>
      <c r="C256" s="8" t="s">
        <v>97</v>
      </c>
      <c r="D256" s="2" t="s">
        <v>31</v>
      </c>
      <c r="E256" s="6" t="s">
        <v>95</v>
      </c>
      <c r="F256" s="2" t="s">
        <v>39</v>
      </c>
      <c r="G256" s="2" t="s">
        <v>21</v>
      </c>
      <c r="H256" s="2" t="s">
        <v>42</v>
      </c>
      <c r="I256" s="2" t="s">
        <v>43</v>
      </c>
      <c r="J256" s="2" t="s">
        <v>45</v>
      </c>
      <c r="K256" s="2" t="s">
        <v>46</v>
      </c>
      <c r="L256" s="2" t="s">
        <v>47</v>
      </c>
      <c r="M256" s="8" t="s">
        <v>96</v>
      </c>
    </row>
    <row r="257">
      <c r="A257" s="6"/>
      <c r="B257" s="7" t="s">
        <v>860</v>
      </c>
      <c r="C257" s="8" t="s">
        <v>103</v>
      </c>
      <c r="D257" s="2" t="s">
        <v>31</v>
      </c>
      <c r="E257" s="6" t="s">
        <v>101</v>
      </c>
      <c r="F257" s="2" t="s">
        <v>39</v>
      </c>
      <c r="G257" s="2" t="s">
        <v>21</v>
      </c>
      <c r="H257" s="2" t="s">
        <v>42</v>
      </c>
      <c r="I257" s="2" t="s">
        <v>43</v>
      </c>
      <c r="J257" s="2" t="s">
        <v>45</v>
      </c>
      <c r="K257" s="2" t="s">
        <v>46</v>
      </c>
      <c r="L257" s="2" t="s">
        <v>47</v>
      </c>
      <c r="M257" s="8" t="s">
        <v>102</v>
      </c>
    </row>
    <row r="258">
      <c r="A258" s="6"/>
      <c r="B258" s="7" t="s">
        <v>861</v>
      </c>
      <c r="C258" s="8" t="s">
        <v>112</v>
      </c>
      <c r="D258" s="2" t="s">
        <v>31</v>
      </c>
      <c r="E258" s="6" t="s">
        <v>108</v>
      </c>
      <c r="F258" s="2" t="s">
        <v>39</v>
      </c>
      <c r="G258" s="2" t="s">
        <v>21</v>
      </c>
      <c r="H258" s="2" t="s">
        <v>42</v>
      </c>
      <c r="I258" s="2" t="s">
        <v>43</v>
      </c>
      <c r="J258" s="2" t="s">
        <v>45</v>
      </c>
      <c r="K258" s="2" t="s">
        <v>46</v>
      </c>
      <c r="L258" s="2" t="s">
        <v>47</v>
      </c>
      <c r="M258" s="8" t="s">
        <v>109</v>
      </c>
    </row>
    <row r="259">
      <c r="A259" s="6"/>
      <c r="B259" s="7" t="s">
        <v>862</v>
      </c>
      <c r="C259" s="8" t="s">
        <v>120</v>
      </c>
      <c r="D259" s="2" t="s">
        <v>31</v>
      </c>
      <c r="E259" s="6" t="s">
        <v>117</v>
      </c>
      <c r="F259" s="2" t="s">
        <v>39</v>
      </c>
      <c r="G259" s="2" t="s">
        <v>21</v>
      </c>
      <c r="H259" s="2" t="s">
        <v>42</v>
      </c>
      <c r="I259" s="2" t="s">
        <v>43</v>
      </c>
      <c r="J259" s="2" t="s">
        <v>45</v>
      </c>
      <c r="K259" s="2" t="s">
        <v>46</v>
      </c>
      <c r="L259" s="2" t="s">
        <v>47</v>
      </c>
      <c r="M259" s="8" t="s">
        <v>119</v>
      </c>
    </row>
    <row r="260">
      <c r="A260" s="6"/>
      <c r="B260" s="7" t="s">
        <v>863</v>
      </c>
      <c r="C260" s="8" t="s">
        <v>126</v>
      </c>
      <c r="D260" s="2" t="s">
        <v>31</v>
      </c>
      <c r="E260" s="6" t="s">
        <v>124</v>
      </c>
      <c r="F260" s="2" t="s">
        <v>39</v>
      </c>
      <c r="G260" s="2" t="s">
        <v>21</v>
      </c>
      <c r="H260" s="2" t="s">
        <v>42</v>
      </c>
      <c r="I260" s="2" t="s">
        <v>43</v>
      </c>
      <c r="J260" s="2" t="s">
        <v>45</v>
      </c>
      <c r="K260" s="2" t="s">
        <v>46</v>
      </c>
      <c r="L260" s="2" t="s">
        <v>47</v>
      </c>
      <c r="M260" s="8" t="s">
        <v>125</v>
      </c>
    </row>
    <row r="261">
      <c r="A261" s="6"/>
      <c r="B261" s="7" t="s">
        <v>864</v>
      </c>
      <c r="C261" s="8" t="s">
        <v>132</v>
      </c>
      <c r="D261" s="2" t="s">
        <v>31</v>
      </c>
      <c r="E261" s="6" t="s">
        <v>130</v>
      </c>
      <c r="F261" s="2" t="s">
        <v>39</v>
      </c>
      <c r="G261" s="2" t="s">
        <v>21</v>
      </c>
      <c r="H261" s="2" t="s">
        <v>42</v>
      </c>
      <c r="I261" s="2" t="s">
        <v>43</v>
      </c>
      <c r="J261" s="2" t="s">
        <v>45</v>
      </c>
      <c r="K261" s="2" t="s">
        <v>46</v>
      </c>
      <c r="L261" s="2" t="s">
        <v>47</v>
      </c>
      <c r="M261" s="8" t="s">
        <v>131</v>
      </c>
    </row>
    <row r="262">
      <c r="A262" s="6"/>
      <c r="B262" s="7" t="s">
        <v>865</v>
      </c>
      <c r="C262" s="8" t="s">
        <v>138</v>
      </c>
      <c r="D262" s="2" t="s">
        <v>31</v>
      </c>
      <c r="E262" s="6" t="s">
        <v>136</v>
      </c>
      <c r="F262" s="2" t="s">
        <v>39</v>
      </c>
      <c r="G262" s="2" t="s">
        <v>21</v>
      </c>
      <c r="H262" s="2" t="s">
        <v>42</v>
      </c>
      <c r="I262" s="2" t="s">
        <v>43</v>
      </c>
      <c r="J262" s="2" t="s">
        <v>45</v>
      </c>
      <c r="K262" s="2" t="s">
        <v>46</v>
      </c>
      <c r="L262" s="2" t="s">
        <v>47</v>
      </c>
      <c r="M262" s="8" t="s">
        <v>137</v>
      </c>
    </row>
    <row r="263">
      <c r="A263" s="6"/>
      <c r="B263" s="7" t="s">
        <v>866</v>
      </c>
      <c r="C263" s="8" t="s">
        <v>144</v>
      </c>
      <c r="D263" s="2" t="s">
        <v>31</v>
      </c>
      <c r="E263" s="6" t="s">
        <v>142</v>
      </c>
      <c r="F263" s="2" t="s">
        <v>39</v>
      </c>
      <c r="G263" s="2" t="s">
        <v>21</v>
      </c>
      <c r="H263" s="2" t="s">
        <v>42</v>
      </c>
      <c r="I263" s="2" t="s">
        <v>43</v>
      </c>
      <c r="J263" s="2" t="s">
        <v>45</v>
      </c>
      <c r="K263" s="2" t="s">
        <v>46</v>
      </c>
      <c r="L263" s="2" t="s">
        <v>47</v>
      </c>
      <c r="M263" s="8" t="s">
        <v>143</v>
      </c>
    </row>
    <row r="264">
      <c r="A264" s="6"/>
      <c r="B264" s="7" t="s">
        <v>867</v>
      </c>
      <c r="C264" s="8" t="s">
        <v>152</v>
      </c>
      <c r="D264" s="2" t="s">
        <v>31</v>
      </c>
      <c r="E264" s="6" t="s">
        <v>148</v>
      </c>
      <c r="F264" s="2" t="s">
        <v>39</v>
      </c>
      <c r="G264" s="2" t="s">
        <v>21</v>
      </c>
      <c r="H264" s="2" t="s">
        <v>42</v>
      </c>
      <c r="I264" s="2" t="s">
        <v>43</v>
      </c>
      <c r="J264" s="2" t="s">
        <v>45</v>
      </c>
      <c r="K264" s="2" t="s">
        <v>46</v>
      </c>
      <c r="L264" s="2" t="s">
        <v>47</v>
      </c>
      <c r="M264" s="8" t="s">
        <v>150</v>
      </c>
    </row>
    <row r="265">
      <c r="A265" s="6"/>
      <c r="B265" s="7" t="s">
        <v>868</v>
      </c>
      <c r="C265" s="8" t="s">
        <v>158</v>
      </c>
      <c r="D265" s="2" t="s">
        <v>31</v>
      </c>
      <c r="E265" s="6" t="s">
        <v>155</v>
      </c>
      <c r="F265" s="2" t="s">
        <v>39</v>
      </c>
      <c r="G265" s="2" t="s">
        <v>21</v>
      </c>
      <c r="H265" s="2" t="s">
        <v>42</v>
      </c>
      <c r="I265" s="2" t="s">
        <v>43</v>
      </c>
      <c r="J265" s="2" t="s">
        <v>45</v>
      </c>
      <c r="K265" s="2" t="s">
        <v>46</v>
      </c>
      <c r="L265" s="2" t="s">
        <v>47</v>
      </c>
      <c r="M265" s="8" t="s">
        <v>156</v>
      </c>
    </row>
    <row r="266">
      <c r="A266" s="6"/>
      <c r="B266" s="7" t="s">
        <v>869</v>
      </c>
      <c r="C266" s="8" t="s">
        <v>166</v>
      </c>
      <c r="D266" s="2" t="s">
        <v>31</v>
      </c>
      <c r="E266" s="6" t="s">
        <v>164</v>
      </c>
      <c r="F266" s="2" t="s">
        <v>39</v>
      </c>
      <c r="G266" s="2" t="s">
        <v>21</v>
      </c>
      <c r="H266" s="2" t="s">
        <v>42</v>
      </c>
      <c r="I266" s="2" t="s">
        <v>43</v>
      </c>
      <c r="J266" s="2" t="s">
        <v>45</v>
      </c>
      <c r="K266" s="2" t="s">
        <v>46</v>
      </c>
      <c r="L266" s="2" t="s">
        <v>47</v>
      </c>
      <c r="M266" s="8" t="s">
        <v>165</v>
      </c>
    </row>
    <row r="267">
      <c r="A267" s="6"/>
      <c r="B267" s="7" t="s">
        <v>870</v>
      </c>
      <c r="C267" s="8" t="s">
        <v>172</v>
      </c>
      <c r="D267" s="2" t="s">
        <v>31</v>
      </c>
      <c r="E267" s="6" t="s">
        <v>170</v>
      </c>
      <c r="F267" s="2" t="s">
        <v>39</v>
      </c>
      <c r="G267" s="2" t="s">
        <v>21</v>
      </c>
      <c r="H267" s="2" t="s">
        <v>42</v>
      </c>
      <c r="I267" s="2" t="s">
        <v>43</v>
      </c>
      <c r="J267" s="2" t="s">
        <v>45</v>
      </c>
      <c r="K267" s="2" t="s">
        <v>46</v>
      </c>
      <c r="L267" s="2" t="s">
        <v>47</v>
      </c>
      <c r="M267" s="8" t="s">
        <v>171</v>
      </c>
    </row>
    <row r="268">
      <c r="A268" s="6"/>
      <c r="B268" s="7" t="s">
        <v>871</v>
      </c>
      <c r="C268" s="8" t="s">
        <v>180</v>
      </c>
      <c r="D268" s="2" t="s">
        <v>31</v>
      </c>
      <c r="E268" s="6" t="s">
        <v>178</v>
      </c>
      <c r="F268" s="2" t="s">
        <v>39</v>
      </c>
      <c r="G268" s="2" t="s">
        <v>21</v>
      </c>
      <c r="H268" s="2" t="s">
        <v>42</v>
      </c>
      <c r="I268" s="2" t="s">
        <v>43</v>
      </c>
      <c r="J268" s="2" t="s">
        <v>45</v>
      </c>
      <c r="K268" s="2" t="s">
        <v>46</v>
      </c>
      <c r="L268" s="2" t="s">
        <v>47</v>
      </c>
      <c r="M268" s="8" t="s">
        <v>179</v>
      </c>
    </row>
    <row r="269">
      <c r="A269" s="6"/>
      <c r="B269" s="7" t="s">
        <v>872</v>
      </c>
      <c r="C269" s="8" t="s">
        <v>187</v>
      </c>
      <c r="D269" s="2" t="s">
        <v>31</v>
      </c>
      <c r="E269" s="6" t="s">
        <v>184</v>
      </c>
      <c r="F269" s="2" t="s">
        <v>39</v>
      </c>
      <c r="G269" s="2" t="s">
        <v>21</v>
      </c>
      <c r="H269" s="2" t="s">
        <v>42</v>
      </c>
      <c r="I269" s="2" t="s">
        <v>43</v>
      </c>
      <c r="J269" s="2" t="s">
        <v>45</v>
      </c>
      <c r="K269" s="2" t="s">
        <v>46</v>
      </c>
      <c r="L269" s="2" t="s">
        <v>47</v>
      </c>
      <c r="M269" s="8" t="s">
        <v>185</v>
      </c>
    </row>
    <row r="270">
      <c r="A270" s="6"/>
      <c r="B270" s="7" t="s">
        <v>873</v>
      </c>
      <c r="C270" s="8" t="s">
        <v>195</v>
      </c>
      <c r="D270" s="2" t="s">
        <v>31</v>
      </c>
      <c r="E270" s="6" t="s">
        <v>193</v>
      </c>
      <c r="F270" s="2" t="s">
        <v>39</v>
      </c>
      <c r="G270" s="2" t="s">
        <v>21</v>
      </c>
      <c r="H270" s="2" t="s">
        <v>42</v>
      </c>
      <c r="I270" s="2" t="s">
        <v>43</v>
      </c>
      <c r="J270" s="2" t="s">
        <v>45</v>
      </c>
      <c r="K270" s="2" t="s">
        <v>46</v>
      </c>
      <c r="L270" s="2" t="s">
        <v>47</v>
      </c>
      <c r="M270" s="8" t="s">
        <v>194</v>
      </c>
    </row>
    <row r="271">
      <c r="A271" s="6"/>
      <c r="B271" s="7" t="s">
        <v>874</v>
      </c>
      <c r="C271" s="8" t="s">
        <v>202</v>
      </c>
      <c r="D271" s="2" t="s">
        <v>31</v>
      </c>
      <c r="E271" s="6" t="s">
        <v>200</v>
      </c>
      <c r="F271" s="2" t="s">
        <v>39</v>
      </c>
      <c r="G271" s="2" t="s">
        <v>21</v>
      </c>
      <c r="H271" s="2" t="s">
        <v>42</v>
      </c>
      <c r="I271" s="2" t="s">
        <v>43</v>
      </c>
      <c r="J271" s="2" t="s">
        <v>45</v>
      </c>
      <c r="K271" s="2" t="s">
        <v>46</v>
      </c>
      <c r="L271" s="2" t="s">
        <v>47</v>
      </c>
      <c r="M271" s="8" t="s">
        <v>201</v>
      </c>
    </row>
    <row r="272">
      <c r="A272" s="6"/>
      <c r="B272" s="7" t="s">
        <v>875</v>
      </c>
      <c r="C272" s="8" t="s">
        <v>209</v>
      </c>
      <c r="D272" s="2" t="s">
        <v>31</v>
      </c>
      <c r="E272" s="6" t="s">
        <v>207</v>
      </c>
      <c r="F272" s="2" t="s">
        <v>39</v>
      </c>
      <c r="G272" s="2" t="s">
        <v>21</v>
      </c>
      <c r="H272" s="2" t="s">
        <v>42</v>
      </c>
      <c r="I272" s="2" t="s">
        <v>43</v>
      </c>
      <c r="J272" s="2" t="s">
        <v>45</v>
      </c>
      <c r="K272" s="2" t="s">
        <v>46</v>
      </c>
      <c r="L272" s="2" t="s">
        <v>47</v>
      </c>
      <c r="M272" s="8" t="s">
        <v>208</v>
      </c>
    </row>
    <row r="273">
      <c r="A273" s="6"/>
      <c r="B273" s="7" t="s">
        <v>876</v>
      </c>
      <c r="C273" s="8" t="s">
        <v>214</v>
      </c>
      <c r="D273" s="2" t="s">
        <v>31</v>
      </c>
      <c r="E273" s="6" t="s">
        <v>211</v>
      </c>
      <c r="F273" s="2" t="s">
        <v>39</v>
      </c>
      <c r="G273" s="2" t="s">
        <v>21</v>
      </c>
      <c r="H273" s="2" t="s">
        <v>42</v>
      </c>
      <c r="I273" s="2" t="s">
        <v>43</v>
      </c>
      <c r="J273" s="2" t="s">
        <v>45</v>
      </c>
      <c r="K273" s="2" t="s">
        <v>46</v>
      </c>
      <c r="L273" s="2" t="s">
        <v>47</v>
      </c>
      <c r="M273" s="8" t="s">
        <v>213</v>
      </c>
    </row>
    <row r="274">
      <c r="A274" s="6"/>
      <c r="B274" s="7" t="s">
        <v>877</v>
      </c>
      <c r="C274" s="8" t="s">
        <v>220</v>
      </c>
      <c r="D274" s="2" t="s">
        <v>31</v>
      </c>
      <c r="E274" s="6" t="s">
        <v>218</v>
      </c>
      <c r="F274" s="2" t="s">
        <v>39</v>
      </c>
      <c r="G274" s="2" t="s">
        <v>21</v>
      </c>
      <c r="H274" s="2" t="s">
        <v>42</v>
      </c>
      <c r="I274" s="2" t="s">
        <v>43</v>
      </c>
      <c r="J274" s="2" t="s">
        <v>45</v>
      </c>
      <c r="K274" s="2" t="s">
        <v>46</v>
      </c>
      <c r="L274" s="2" t="s">
        <v>47</v>
      </c>
      <c r="M274" s="8" t="s">
        <v>219</v>
      </c>
    </row>
    <row r="275">
      <c r="A275" s="6"/>
      <c r="B275" s="7" t="s">
        <v>878</v>
      </c>
      <c r="C275" s="8" t="s">
        <v>224</v>
      </c>
      <c r="D275" s="2" t="s">
        <v>31</v>
      </c>
      <c r="E275" s="6" t="s">
        <v>222</v>
      </c>
      <c r="F275" s="2" t="s">
        <v>39</v>
      </c>
      <c r="G275" s="2" t="s">
        <v>21</v>
      </c>
      <c r="H275" s="2" t="s">
        <v>42</v>
      </c>
      <c r="I275" s="2" t="s">
        <v>43</v>
      </c>
      <c r="J275" s="2" t="s">
        <v>45</v>
      </c>
      <c r="K275" s="2" t="s">
        <v>46</v>
      </c>
      <c r="L275" s="2" t="s">
        <v>47</v>
      </c>
      <c r="M275" s="8" t="s">
        <v>223</v>
      </c>
    </row>
    <row r="276">
      <c r="A276" s="6"/>
      <c r="B276" s="7" t="s">
        <v>879</v>
      </c>
      <c r="C276" s="8" t="s">
        <v>230</v>
      </c>
      <c r="D276" s="2" t="s">
        <v>31</v>
      </c>
      <c r="E276" s="6" t="s">
        <v>228</v>
      </c>
      <c r="F276" s="2" t="s">
        <v>39</v>
      </c>
      <c r="G276" s="2" t="s">
        <v>21</v>
      </c>
      <c r="H276" s="2" t="s">
        <v>42</v>
      </c>
      <c r="I276" s="2" t="s">
        <v>43</v>
      </c>
      <c r="J276" s="2" t="s">
        <v>45</v>
      </c>
      <c r="K276" s="2" t="s">
        <v>46</v>
      </c>
      <c r="L276" s="2" t="s">
        <v>47</v>
      </c>
      <c r="M276" s="8" t="s">
        <v>229</v>
      </c>
    </row>
    <row r="277">
      <c r="A277" s="6"/>
      <c r="B277" s="7" t="s">
        <v>880</v>
      </c>
      <c r="C277" s="8" t="s">
        <v>235</v>
      </c>
      <c r="D277" s="2" t="s">
        <v>31</v>
      </c>
      <c r="E277" s="6" t="s">
        <v>233</v>
      </c>
      <c r="F277" s="2" t="s">
        <v>39</v>
      </c>
      <c r="G277" s="2" t="s">
        <v>21</v>
      </c>
      <c r="H277" s="2" t="s">
        <v>42</v>
      </c>
      <c r="I277" s="2" t="s">
        <v>43</v>
      </c>
      <c r="J277" s="2" t="s">
        <v>45</v>
      </c>
      <c r="K277" s="2" t="s">
        <v>46</v>
      </c>
      <c r="L277" s="2" t="s">
        <v>47</v>
      </c>
      <c r="M277" s="8" t="s">
        <v>234</v>
      </c>
    </row>
    <row r="278">
      <c r="A278" s="6"/>
      <c r="B278" s="7" t="s">
        <v>881</v>
      </c>
      <c r="C278" s="8" t="s">
        <v>243</v>
      </c>
      <c r="D278" s="2" t="s">
        <v>31</v>
      </c>
      <c r="E278" s="6" t="s">
        <v>240</v>
      </c>
      <c r="F278" s="2" t="s">
        <v>39</v>
      </c>
      <c r="G278" s="2" t="s">
        <v>21</v>
      </c>
      <c r="H278" s="2" t="s">
        <v>42</v>
      </c>
      <c r="I278" s="2" t="s">
        <v>43</v>
      </c>
      <c r="J278" s="2" t="s">
        <v>45</v>
      </c>
      <c r="K278" s="2" t="s">
        <v>46</v>
      </c>
      <c r="L278" s="2" t="s">
        <v>47</v>
      </c>
      <c r="M278" s="8" t="s">
        <v>242</v>
      </c>
    </row>
    <row r="279">
      <c r="A279" s="6"/>
      <c r="B279" s="7" t="s">
        <v>882</v>
      </c>
      <c r="C279" s="8" t="s">
        <v>247</v>
      </c>
      <c r="D279" s="2" t="s">
        <v>31</v>
      </c>
      <c r="E279" s="6" t="s">
        <v>238</v>
      </c>
      <c r="F279" s="2" t="s">
        <v>39</v>
      </c>
      <c r="G279" s="2" t="s">
        <v>21</v>
      </c>
      <c r="H279" s="2" t="s">
        <v>42</v>
      </c>
      <c r="I279" s="2" t="s">
        <v>43</v>
      </c>
      <c r="J279" s="2" t="s">
        <v>45</v>
      </c>
      <c r="K279" s="2" t="s">
        <v>46</v>
      </c>
      <c r="L279" s="2" t="s">
        <v>47</v>
      </c>
      <c r="M279" s="8" t="s">
        <v>246</v>
      </c>
    </row>
    <row r="280">
      <c r="A280" s="6"/>
      <c r="B280" s="7" t="s">
        <v>883</v>
      </c>
      <c r="C280" s="8" t="s">
        <v>253</v>
      </c>
      <c r="D280" s="2" t="s">
        <v>31</v>
      </c>
      <c r="E280" s="6" t="s">
        <v>251</v>
      </c>
      <c r="F280" s="2" t="s">
        <v>39</v>
      </c>
      <c r="G280" s="2" t="s">
        <v>21</v>
      </c>
      <c r="H280" s="2" t="s">
        <v>42</v>
      </c>
      <c r="I280" s="2" t="s">
        <v>43</v>
      </c>
      <c r="J280" s="2" t="s">
        <v>45</v>
      </c>
      <c r="K280" s="2" t="s">
        <v>46</v>
      </c>
      <c r="L280" s="2" t="s">
        <v>47</v>
      </c>
      <c r="M280" s="8" t="s">
        <v>252</v>
      </c>
    </row>
    <row r="281">
      <c r="A281" s="6"/>
      <c r="B281" s="7" t="s">
        <v>884</v>
      </c>
      <c r="C281" s="8" t="s">
        <v>257</v>
      </c>
      <c r="D281" s="2" t="s">
        <v>31</v>
      </c>
      <c r="E281" s="6" t="s">
        <v>104</v>
      </c>
      <c r="F281" s="2" t="s">
        <v>39</v>
      </c>
      <c r="G281" s="2" t="s">
        <v>21</v>
      </c>
      <c r="H281" s="2" t="s">
        <v>42</v>
      </c>
      <c r="I281" s="2" t="s">
        <v>43</v>
      </c>
      <c r="J281" s="2" t="s">
        <v>45</v>
      </c>
      <c r="K281" s="2" t="s">
        <v>46</v>
      </c>
      <c r="L281" s="2" t="s">
        <v>47</v>
      </c>
      <c r="M281" s="8" t="s">
        <v>256</v>
      </c>
    </row>
    <row r="282">
      <c r="A282" s="6"/>
      <c r="B282" s="7" t="s">
        <v>885</v>
      </c>
      <c r="C282" s="8" t="s">
        <v>262</v>
      </c>
      <c r="D282" s="2" t="s">
        <v>31</v>
      </c>
      <c r="E282" s="6" t="s">
        <v>92</v>
      </c>
      <c r="F282" s="2" t="s">
        <v>39</v>
      </c>
      <c r="G282" s="2" t="s">
        <v>21</v>
      </c>
      <c r="H282" s="2" t="s">
        <v>42</v>
      </c>
      <c r="I282" s="2" t="s">
        <v>43</v>
      </c>
      <c r="J282" s="2" t="s">
        <v>45</v>
      </c>
      <c r="K282" s="2" t="s">
        <v>46</v>
      </c>
      <c r="L282" s="2" t="s">
        <v>47</v>
      </c>
      <c r="M282" s="8" t="s">
        <v>261</v>
      </c>
    </row>
    <row r="283">
      <c r="A283" s="6"/>
      <c r="B283" s="7" t="s">
        <v>886</v>
      </c>
      <c r="C283" s="8" t="s">
        <v>267</v>
      </c>
      <c r="D283" s="2" t="s">
        <v>31</v>
      </c>
      <c r="E283" s="6" t="s">
        <v>265</v>
      </c>
      <c r="F283" s="2" t="s">
        <v>39</v>
      </c>
      <c r="G283" s="2" t="s">
        <v>21</v>
      </c>
      <c r="H283" s="2" t="s">
        <v>42</v>
      </c>
      <c r="I283" s="2" t="s">
        <v>43</v>
      </c>
      <c r="J283" s="2" t="s">
        <v>45</v>
      </c>
      <c r="K283" s="2" t="s">
        <v>46</v>
      </c>
      <c r="L283" s="2" t="s">
        <v>47</v>
      </c>
      <c r="M283" s="8" t="s">
        <v>266</v>
      </c>
    </row>
    <row r="284">
      <c r="A284" s="6"/>
      <c r="B284" s="7" t="s">
        <v>887</v>
      </c>
      <c r="C284" s="8" t="s">
        <v>272</v>
      </c>
      <c r="D284" s="2" t="s">
        <v>31</v>
      </c>
      <c r="E284" s="6" t="s">
        <v>270</v>
      </c>
      <c r="F284" s="2" t="s">
        <v>39</v>
      </c>
      <c r="G284" s="2" t="s">
        <v>21</v>
      </c>
      <c r="H284" s="2" t="s">
        <v>42</v>
      </c>
      <c r="I284" s="2" t="s">
        <v>43</v>
      </c>
      <c r="J284" s="2" t="s">
        <v>45</v>
      </c>
      <c r="K284" s="2" t="s">
        <v>46</v>
      </c>
      <c r="L284" s="2" t="s">
        <v>47</v>
      </c>
      <c r="M284" s="8" t="s">
        <v>271</v>
      </c>
    </row>
    <row r="285">
      <c r="A285" s="6"/>
      <c r="B285" s="7" t="s">
        <v>888</v>
      </c>
      <c r="C285" s="8" t="s">
        <v>276</v>
      </c>
      <c r="D285" s="2" t="s">
        <v>31</v>
      </c>
      <c r="E285" s="6" t="s">
        <v>113</v>
      </c>
      <c r="F285" s="2" t="s">
        <v>39</v>
      </c>
      <c r="G285" s="2" t="s">
        <v>21</v>
      </c>
      <c r="H285" s="2" t="s">
        <v>42</v>
      </c>
      <c r="I285" s="2" t="s">
        <v>43</v>
      </c>
      <c r="J285" s="2" t="s">
        <v>45</v>
      </c>
      <c r="K285" s="2" t="s">
        <v>46</v>
      </c>
      <c r="L285" s="2" t="s">
        <v>47</v>
      </c>
      <c r="M285" s="8" t="s">
        <v>275</v>
      </c>
    </row>
    <row r="286">
      <c r="A286" s="6"/>
      <c r="B286" s="7" t="s">
        <v>889</v>
      </c>
      <c r="C286" s="8" t="s">
        <v>281</v>
      </c>
      <c r="D286" s="2" t="s">
        <v>31</v>
      </c>
      <c r="E286" s="6" t="s">
        <v>279</v>
      </c>
      <c r="F286" s="2" t="s">
        <v>39</v>
      </c>
      <c r="G286" s="2" t="s">
        <v>21</v>
      </c>
      <c r="H286" s="2" t="s">
        <v>42</v>
      </c>
      <c r="I286" s="2" t="s">
        <v>43</v>
      </c>
      <c r="J286" s="2" t="s">
        <v>45</v>
      </c>
      <c r="K286" s="2" t="s">
        <v>46</v>
      </c>
      <c r="L286" s="2" t="s">
        <v>47</v>
      </c>
      <c r="M286" s="8" t="s">
        <v>280</v>
      </c>
    </row>
    <row r="287">
      <c r="A287" s="6"/>
      <c r="B287" s="7" t="s">
        <v>890</v>
      </c>
      <c r="C287" s="8" t="s">
        <v>285</v>
      </c>
      <c r="D287" s="2" t="s">
        <v>31</v>
      </c>
      <c r="E287" s="6" t="s">
        <v>283</v>
      </c>
      <c r="F287" s="2" t="s">
        <v>39</v>
      </c>
      <c r="G287" s="2" t="s">
        <v>21</v>
      </c>
      <c r="H287" s="2" t="s">
        <v>42</v>
      </c>
      <c r="I287" s="2" t="s">
        <v>43</v>
      </c>
      <c r="J287" s="2" t="s">
        <v>45</v>
      </c>
      <c r="K287" s="2" t="s">
        <v>46</v>
      </c>
      <c r="L287" s="2" t="s">
        <v>47</v>
      </c>
      <c r="M287" s="8" t="s">
        <v>284</v>
      </c>
    </row>
    <row r="288">
      <c r="A288" s="6"/>
      <c r="B288" s="7" t="s">
        <v>891</v>
      </c>
      <c r="C288" s="8" t="s">
        <v>290</v>
      </c>
      <c r="D288" s="2" t="s">
        <v>31</v>
      </c>
      <c r="E288" s="6" t="s">
        <v>66</v>
      </c>
      <c r="F288" s="2" t="s">
        <v>39</v>
      </c>
      <c r="G288" s="2" t="s">
        <v>21</v>
      </c>
      <c r="H288" s="2" t="s">
        <v>42</v>
      </c>
      <c r="I288" s="2" t="s">
        <v>43</v>
      </c>
      <c r="J288" s="2" t="s">
        <v>45</v>
      </c>
      <c r="K288" s="2" t="s">
        <v>46</v>
      </c>
      <c r="L288" s="2" t="s">
        <v>47</v>
      </c>
      <c r="M288" s="8" t="s">
        <v>289</v>
      </c>
    </row>
    <row r="289">
      <c r="A289" s="6"/>
      <c r="B289" s="7" t="s">
        <v>892</v>
      </c>
      <c r="C289" s="8" t="s">
        <v>294</v>
      </c>
      <c r="D289" s="2" t="s">
        <v>31</v>
      </c>
      <c r="E289" s="6" t="s">
        <v>210</v>
      </c>
      <c r="F289" s="2" t="s">
        <v>39</v>
      </c>
      <c r="G289" s="2" t="s">
        <v>21</v>
      </c>
      <c r="H289" s="2" t="s">
        <v>42</v>
      </c>
      <c r="I289" s="2" t="s">
        <v>43</v>
      </c>
      <c r="J289" s="2" t="s">
        <v>45</v>
      </c>
      <c r="K289" s="2" t="s">
        <v>46</v>
      </c>
      <c r="L289" s="2" t="s">
        <v>47</v>
      </c>
      <c r="M289" s="8" t="s">
        <v>292</v>
      </c>
    </row>
    <row r="290">
      <c r="A290" s="6"/>
      <c r="B290" s="7" t="s">
        <v>895</v>
      </c>
      <c r="C290" s="8" t="s">
        <v>300</v>
      </c>
      <c r="D290" s="2" t="s">
        <v>31</v>
      </c>
      <c r="E290" s="6" t="s">
        <v>296</v>
      </c>
      <c r="F290" s="2" t="s">
        <v>39</v>
      </c>
      <c r="G290" s="2" t="s">
        <v>21</v>
      </c>
      <c r="H290" s="2" t="s">
        <v>42</v>
      </c>
      <c r="I290" s="2" t="s">
        <v>43</v>
      </c>
      <c r="J290" s="2" t="s">
        <v>45</v>
      </c>
      <c r="K290" s="2" t="s">
        <v>46</v>
      </c>
      <c r="L290" s="2" t="s">
        <v>47</v>
      </c>
      <c r="M290" s="8" t="s">
        <v>297</v>
      </c>
    </row>
    <row r="291">
      <c r="A291" s="6"/>
      <c r="B291" s="7" t="s">
        <v>900</v>
      </c>
      <c r="C291" s="8" t="s">
        <v>303</v>
      </c>
      <c r="D291" s="2" t="s">
        <v>31</v>
      </c>
      <c r="E291" s="6" t="s">
        <v>278</v>
      </c>
      <c r="F291" s="2" t="s">
        <v>39</v>
      </c>
      <c r="G291" s="2" t="s">
        <v>21</v>
      </c>
      <c r="H291" s="2" t="s">
        <v>42</v>
      </c>
      <c r="I291" s="2" t="s">
        <v>43</v>
      </c>
      <c r="J291" s="2" t="s">
        <v>45</v>
      </c>
      <c r="K291" s="2" t="s">
        <v>46</v>
      </c>
      <c r="L291" s="2" t="s">
        <v>47</v>
      </c>
      <c r="M291" s="8" t="s">
        <v>302</v>
      </c>
    </row>
    <row r="292">
      <c r="A292" s="6"/>
      <c r="B292" s="7" t="s">
        <v>901</v>
      </c>
      <c r="C292" s="8" t="s">
        <v>309</v>
      </c>
      <c r="D292" s="2" t="s">
        <v>31</v>
      </c>
      <c r="E292" s="6" t="s">
        <v>301</v>
      </c>
      <c r="F292" s="2" t="s">
        <v>39</v>
      </c>
      <c r="G292" s="2" t="s">
        <v>21</v>
      </c>
      <c r="H292" s="2" t="s">
        <v>42</v>
      </c>
      <c r="I292" s="2" t="s">
        <v>43</v>
      </c>
      <c r="J292" s="2" t="s">
        <v>45</v>
      </c>
      <c r="K292" s="2" t="s">
        <v>46</v>
      </c>
      <c r="L292" s="2" t="s">
        <v>47</v>
      </c>
      <c r="M292" s="8" t="s">
        <v>308</v>
      </c>
    </row>
    <row r="293">
      <c r="A293" s="6"/>
      <c r="B293" s="7" t="s">
        <v>906</v>
      </c>
      <c r="C293" s="8" t="s">
        <v>313</v>
      </c>
      <c r="D293" s="2" t="s">
        <v>31</v>
      </c>
      <c r="E293" s="6" t="s">
        <v>311</v>
      </c>
      <c r="F293" s="2" t="s">
        <v>39</v>
      </c>
      <c r="G293" s="2" t="s">
        <v>21</v>
      </c>
      <c r="H293" s="2" t="s">
        <v>42</v>
      </c>
      <c r="I293" s="2" t="s">
        <v>43</v>
      </c>
      <c r="J293" s="2" t="s">
        <v>45</v>
      </c>
      <c r="K293" s="2" t="s">
        <v>46</v>
      </c>
      <c r="L293" s="2" t="s">
        <v>47</v>
      </c>
      <c r="M293" s="8" t="s">
        <v>312</v>
      </c>
    </row>
    <row r="294">
      <c r="A294" s="6"/>
      <c r="B294" s="7" t="s">
        <v>907</v>
      </c>
      <c r="C294" s="8" t="s">
        <v>319</v>
      </c>
      <c r="D294" s="2" t="s">
        <v>31</v>
      </c>
      <c r="E294" s="6" t="s">
        <v>181</v>
      </c>
      <c r="F294" s="2" t="s">
        <v>39</v>
      </c>
      <c r="G294" s="2" t="s">
        <v>21</v>
      </c>
      <c r="H294" s="2" t="s">
        <v>42</v>
      </c>
      <c r="I294" s="2" t="s">
        <v>43</v>
      </c>
      <c r="J294" s="2" t="s">
        <v>45</v>
      </c>
      <c r="K294" s="2" t="s">
        <v>46</v>
      </c>
      <c r="L294" s="2" t="s">
        <v>47</v>
      </c>
      <c r="M294" s="8" t="s">
        <v>318</v>
      </c>
    </row>
    <row r="295">
      <c r="A295" s="6"/>
      <c r="B295" s="7" t="s">
        <v>910</v>
      </c>
      <c r="C295" s="8" t="s">
        <v>324</v>
      </c>
      <c r="D295" s="2" t="s">
        <v>31</v>
      </c>
      <c r="E295" s="6" t="s">
        <v>322</v>
      </c>
      <c r="F295" s="2" t="s">
        <v>39</v>
      </c>
      <c r="G295" s="2" t="s">
        <v>21</v>
      </c>
      <c r="H295" s="2" t="s">
        <v>42</v>
      </c>
      <c r="I295" s="2" t="s">
        <v>43</v>
      </c>
      <c r="J295" s="2" t="s">
        <v>45</v>
      </c>
      <c r="K295" s="2" t="s">
        <v>46</v>
      </c>
      <c r="L295" s="2" t="s">
        <v>47</v>
      </c>
      <c r="M295" s="8" t="s">
        <v>323</v>
      </c>
    </row>
    <row r="296">
      <c r="A296" s="6"/>
      <c r="B296" s="7" t="s">
        <v>913</v>
      </c>
      <c r="C296" s="8" t="s">
        <v>330</v>
      </c>
      <c r="D296" s="2" t="s">
        <v>31</v>
      </c>
      <c r="E296" s="6" t="s">
        <v>190</v>
      </c>
      <c r="F296" s="2" t="s">
        <v>39</v>
      </c>
      <c r="G296" s="2" t="s">
        <v>21</v>
      </c>
      <c r="H296" s="2" t="s">
        <v>42</v>
      </c>
      <c r="I296" s="2" t="s">
        <v>43</v>
      </c>
      <c r="J296" s="2" t="s">
        <v>45</v>
      </c>
      <c r="K296" s="2" t="s">
        <v>46</v>
      </c>
      <c r="L296" s="2" t="s">
        <v>47</v>
      </c>
      <c r="M296" s="8" t="s">
        <v>329</v>
      </c>
    </row>
    <row r="297">
      <c r="A297" s="6"/>
      <c r="B297" s="7" t="s">
        <v>914</v>
      </c>
      <c r="C297" s="8" t="s">
        <v>334</v>
      </c>
      <c r="D297" s="2" t="s">
        <v>31</v>
      </c>
      <c r="E297" s="6" t="s">
        <v>199</v>
      </c>
      <c r="F297" s="2" t="s">
        <v>39</v>
      </c>
      <c r="G297" s="2" t="s">
        <v>21</v>
      </c>
      <c r="H297" s="2" t="s">
        <v>42</v>
      </c>
      <c r="I297" s="2" t="s">
        <v>43</v>
      </c>
      <c r="J297" s="2" t="s">
        <v>45</v>
      </c>
      <c r="K297" s="2" t="s">
        <v>46</v>
      </c>
      <c r="L297" s="2" t="s">
        <v>47</v>
      </c>
      <c r="M297" s="8" t="s">
        <v>332</v>
      </c>
    </row>
    <row r="298">
      <c r="A298" s="6"/>
      <c r="B298" s="7" t="s">
        <v>919</v>
      </c>
      <c r="C298" s="8" t="s">
        <v>340</v>
      </c>
      <c r="D298" s="2" t="s">
        <v>31</v>
      </c>
      <c r="E298" s="6" t="s">
        <v>338</v>
      </c>
      <c r="F298" s="2" t="s">
        <v>39</v>
      </c>
      <c r="G298" s="2" t="s">
        <v>21</v>
      </c>
      <c r="H298" s="2" t="s">
        <v>42</v>
      </c>
      <c r="I298" s="2" t="s">
        <v>43</v>
      </c>
      <c r="J298" s="2" t="s">
        <v>45</v>
      </c>
      <c r="K298" s="2" t="s">
        <v>46</v>
      </c>
      <c r="L298" s="2" t="s">
        <v>47</v>
      </c>
      <c r="M298" s="8" t="s">
        <v>339</v>
      </c>
    </row>
    <row r="299">
      <c r="A299" s="6"/>
      <c r="B299" s="7" t="s">
        <v>924</v>
      </c>
      <c r="C299" s="8" t="s">
        <v>343</v>
      </c>
      <c r="D299" s="2" t="s">
        <v>31</v>
      </c>
      <c r="E299" s="6" t="s">
        <v>341</v>
      </c>
      <c r="F299" s="2" t="s">
        <v>39</v>
      </c>
      <c r="G299" s="2" t="s">
        <v>21</v>
      </c>
      <c r="H299" s="2" t="s">
        <v>42</v>
      </c>
      <c r="I299" s="2" t="s">
        <v>43</v>
      </c>
      <c r="J299" s="2" t="s">
        <v>45</v>
      </c>
      <c r="K299" s="2" t="s">
        <v>46</v>
      </c>
      <c r="L299" s="2" t="s">
        <v>47</v>
      </c>
      <c r="M299" s="8" t="s">
        <v>342</v>
      </c>
    </row>
    <row r="300">
      <c r="A300" s="6"/>
      <c r="B300" s="7" t="s">
        <v>929</v>
      </c>
      <c r="C300" s="8" t="s">
        <v>349</v>
      </c>
      <c r="D300" s="2" t="s">
        <v>31</v>
      </c>
      <c r="E300" s="6" t="s">
        <v>75</v>
      </c>
      <c r="F300" s="2" t="s">
        <v>39</v>
      </c>
      <c r="G300" s="2" t="s">
        <v>21</v>
      </c>
      <c r="H300" s="2" t="s">
        <v>42</v>
      </c>
      <c r="I300" s="2" t="s">
        <v>43</v>
      </c>
      <c r="J300" s="2" t="s">
        <v>45</v>
      </c>
      <c r="K300" s="2" t="s">
        <v>46</v>
      </c>
      <c r="L300" s="2" t="s">
        <v>47</v>
      </c>
      <c r="M300" s="8" t="s">
        <v>348</v>
      </c>
    </row>
    <row r="301">
      <c r="A301" s="6"/>
      <c r="B301" s="7" t="s">
        <v>934</v>
      </c>
      <c r="C301" s="8" t="s">
        <v>353</v>
      </c>
      <c r="D301" s="2" t="s">
        <v>31</v>
      </c>
      <c r="E301" s="6" t="s">
        <v>351</v>
      </c>
      <c r="F301" s="2" t="s">
        <v>39</v>
      </c>
      <c r="G301" s="2" t="s">
        <v>21</v>
      </c>
      <c r="H301" s="2" t="s">
        <v>42</v>
      </c>
      <c r="I301" s="2" t="s">
        <v>43</v>
      </c>
      <c r="J301" s="2" t="s">
        <v>45</v>
      </c>
      <c r="K301" s="2" t="s">
        <v>46</v>
      </c>
      <c r="L301" s="2" t="s">
        <v>47</v>
      </c>
      <c r="M301" s="8" t="s">
        <v>352</v>
      </c>
    </row>
    <row r="302">
      <c r="A302" s="6"/>
      <c r="B302" s="7" t="s">
        <v>937</v>
      </c>
      <c r="C302" s="8" t="s">
        <v>359</v>
      </c>
      <c r="D302" s="2" t="s">
        <v>31</v>
      </c>
      <c r="E302" s="6" t="s">
        <v>357</v>
      </c>
      <c r="F302" s="2" t="s">
        <v>39</v>
      </c>
      <c r="G302" s="2" t="s">
        <v>21</v>
      </c>
      <c r="H302" s="2" t="s">
        <v>42</v>
      </c>
      <c r="I302" s="2" t="s">
        <v>43</v>
      </c>
      <c r="J302" s="2" t="s">
        <v>45</v>
      </c>
      <c r="K302" s="2" t="s">
        <v>46</v>
      </c>
      <c r="L302" s="2" t="s">
        <v>47</v>
      </c>
      <c r="M302" s="8" t="s">
        <v>358</v>
      </c>
    </row>
    <row r="303">
      <c r="A303" s="6"/>
      <c r="B303" s="7" t="s">
        <v>940</v>
      </c>
      <c r="C303" s="8" t="s">
        <v>364</v>
      </c>
      <c r="D303" s="2" t="s">
        <v>31</v>
      </c>
      <c r="E303" s="6" t="s">
        <v>161</v>
      </c>
      <c r="F303" s="2" t="s">
        <v>39</v>
      </c>
      <c r="G303" s="2" t="s">
        <v>21</v>
      </c>
      <c r="H303" s="2" t="s">
        <v>42</v>
      </c>
      <c r="I303" s="2" t="s">
        <v>43</v>
      </c>
      <c r="J303" s="2" t="s">
        <v>45</v>
      </c>
      <c r="K303" s="2" t="s">
        <v>46</v>
      </c>
      <c r="L303" s="2" t="s">
        <v>47</v>
      </c>
      <c r="M303" s="8" t="s">
        <v>362</v>
      </c>
    </row>
    <row r="304">
      <c r="A304" s="6"/>
      <c r="B304" s="7" t="s">
        <v>945</v>
      </c>
      <c r="C304" s="8" t="s">
        <v>369</v>
      </c>
      <c r="D304" s="2" t="s">
        <v>31</v>
      </c>
      <c r="E304" s="6" t="s">
        <v>367</v>
      </c>
      <c r="F304" s="2" t="s">
        <v>39</v>
      </c>
      <c r="G304" s="2" t="s">
        <v>21</v>
      </c>
      <c r="H304" s="2" t="s">
        <v>42</v>
      </c>
      <c r="I304" s="2" t="s">
        <v>43</v>
      </c>
      <c r="J304" s="2" t="s">
        <v>45</v>
      </c>
      <c r="K304" s="2" t="s">
        <v>46</v>
      </c>
      <c r="L304" s="2" t="s">
        <v>47</v>
      </c>
      <c r="M304" s="8" t="s">
        <v>368</v>
      </c>
    </row>
    <row r="305">
      <c r="A305" s="6"/>
      <c r="B305" s="7" t="s">
        <v>947</v>
      </c>
      <c r="C305" s="8" t="s">
        <v>374</v>
      </c>
      <c r="D305" s="2" t="s">
        <v>31</v>
      </c>
      <c r="E305" s="6" t="s">
        <v>372</v>
      </c>
      <c r="F305" s="2" t="s">
        <v>39</v>
      </c>
      <c r="G305" s="2" t="s">
        <v>21</v>
      </c>
      <c r="H305" s="2" t="s">
        <v>42</v>
      </c>
      <c r="I305" s="2" t="s">
        <v>43</v>
      </c>
      <c r="J305" s="2" t="s">
        <v>45</v>
      </c>
      <c r="K305" s="2" t="s">
        <v>46</v>
      </c>
      <c r="L305" s="2" t="s">
        <v>47</v>
      </c>
      <c r="M305" s="8" t="s">
        <v>373</v>
      </c>
    </row>
    <row r="306">
      <c r="A306" s="6"/>
      <c r="B306" s="7" t="s">
        <v>950</v>
      </c>
      <c r="C306" s="8" t="s">
        <v>381</v>
      </c>
      <c r="D306" s="2" t="s">
        <v>31</v>
      </c>
      <c r="E306" s="6" t="s">
        <v>379</v>
      </c>
      <c r="F306" s="2" t="s">
        <v>39</v>
      </c>
      <c r="G306" s="2" t="s">
        <v>21</v>
      </c>
      <c r="H306" s="2" t="s">
        <v>42</v>
      </c>
      <c r="I306" s="2" t="s">
        <v>43</v>
      </c>
      <c r="J306" s="2" t="s">
        <v>45</v>
      </c>
      <c r="K306" s="2" t="s">
        <v>46</v>
      </c>
      <c r="L306" s="2" t="s">
        <v>47</v>
      </c>
      <c r="M306" s="8" t="s">
        <v>380</v>
      </c>
    </row>
    <row r="307">
      <c r="A307" s="6"/>
      <c r="B307" s="7" t="s">
        <v>954</v>
      </c>
      <c r="C307" s="8" t="s">
        <v>385</v>
      </c>
      <c r="D307" s="2" t="s">
        <v>31</v>
      </c>
      <c r="E307" s="6" t="s">
        <v>383</v>
      </c>
      <c r="F307" s="2" t="s">
        <v>39</v>
      </c>
      <c r="G307" s="2" t="s">
        <v>21</v>
      </c>
      <c r="H307" s="2" t="s">
        <v>42</v>
      </c>
      <c r="I307" s="2" t="s">
        <v>43</v>
      </c>
      <c r="J307" s="2" t="s">
        <v>45</v>
      </c>
      <c r="K307" s="2" t="s">
        <v>46</v>
      </c>
      <c r="L307" s="2" t="s">
        <v>47</v>
      </c>
      <c r="M307" s="8" t="s">
        <v>384</v>
      </c>
    </row>
    <row r="308">
      <c r="A308" s="6"/>
      <c r="B308" s="7" t="s">
        <v>957</v>
      </c>
      <c r="C308" s="8" t="s">
        <v>392</v>
      </c>
      <c r="D308" s="2" t="s">
        <v>31</v>
      </c>
      <c r="E308" s="6" t="s">
        <v>390</v>
      </c>
      <c r="F308" s="2" t="s">
        <v>39</v>
      </c>
      <c r="G308" s="2" t="s">
        <v>21</v>
      </c>
      <c r="H308" s="2" t="s">
        <v>42</v>
      </c>
      <c r="I308" s="2" t="s">
        <v>43</v>
      </c>
      <c r="J308" s="2" t="s">
        <v>45</v>
      </c>
      <c r="K308" s="2" t="s">
        <v>46</v>
      </c>
      <c r="L308" s="2" t="s">
        <v>47</v>
      </c>
      <c r="M308" s="8" t="s">
        <v>391</v>
      </c>
    </row>
    <row r="309">
      <c r="A309" s="6"/>
      <c r="B309" s="7" t="s">
        <v>962</v>
      </c>
      <c r="C309" s="8" t="s">
        <v>396</v>
      </c>
      <c r="D309" s="2" t="s">
        <v>31</v>
      </c>
      <c r="E309" s="6" t="s">
        <v>231</v>
      </c>
      <c r="F309" s="2" t="s">
        <v>39</v>
      </c>
      <c r="G309" s="2" t="s">
        <v>21</v>
      </c>
      <c r="H309" s="2" t="s">
        <v>42</v>
      </c>
      <c r="I309" s="2" t="s">
        <v>43</v>
      </c>
      <c r="J309" s="2" t="s">
        <v>45</v>
      </c>
      <c r="K309" s="2" t="s">
        <v>46</v>
      </c>
      <c r="L309" s="2" t="s">
        <v>47</v>
      </c>
      <c r="M309" s="8" t="s">
        <v>395</v>
      </c>
    </row>
    <row r="310">
      <c r="A310" s="6"/>
      <c r="B310" s="7" t="s">
        <v>964</v>
      </c>
      <c r="C310" s="8" t="s">
        <v>403</v>
      </c>
      <c r="D310" s="2" t="s">
        <v>31</v>
      </c>
      <c r="E310" s="6" t="s">
        <v>401</v>
      </c>
      <c r="F310" s="2" t="s">
        <v>39</v>
      </c>
      <c r="G310" s="2" t="s">
        <v>21</v>
      </c>
      <c r="H310" s="2" t="s">
        <v>42</v>
      </c>
      <c r="I310" s="2" t="s">
        <v>43</v>
      </c>
      <c r="J310" s="2" t="s">
        <v>45</v>
      </c>
      <c r="K310" s="2" t="s">
        <v>46</v>
      </c>
      <c r="L310" s="2" t="s">
        <v>47</v>
      </c>
      <c r="M310" s="8" t="s">
        <v>402</v>
      </c>
    </row>
    <row r="311">
      <c r="A311" s="6"/>
      <c r="B311" s="7" t="s">
        <v>968</v>
      </c>
      <c r="C311" s="8" t="s">
        <v>407</v>
      </c>
      <c r="D311" s="2" t="s">
        <v>31</v>
      </c>
      <c r="E311" s="6" t="s">
        <v>405</v>
      </c>
      <c r="F311" s="2" t="s">
        <v>39</v>
      </c>
      <c r="G311" s="2" t="s">
        <v>21</v>
      </c>
      <c r="H311" s="2" t="s">
        <v>42</v>
      </c>
      <c r="I311" s="2" t="s">
        <v>43</v>
      </c>
      <c r="J311" s="2" t="s">
        <v>45</v>
      </c>
      <c r="K311" s="2" t="s">
        <v>46</v>
      </c>
      <c r="L311" s="2" t="s">
        <v>47</v>
      </c>
      <c r="M311" s="8" t="s">
        <v>406</v>
      </c>
    </row>
    <row r="312">
      <c r="A312" s="6"/>
      <c r="B312" s="7" t="s">
        <v>971</v>
      </c>
      <c r="C312" s="8" t="s">
        <v>413</v>
      </c>
      <c r="D312" s="2" t="s">
        <v>31</v>
      </c>
      <c r="E312" s="6" t="s">
        <v>411</v>
      </c>
      <c r="F312" s="2" t="s">
        <v>39</v>
      </c>
      <c r="G312" s="2" t="s">
        <v>21</v>
      </c>
      <c r="H312" s="2" t="s">
        <v>42</v>
      </c>
      <c r="I312" s="2" t="s">
        <v>43</v>
      </c>
      <c r="J312" s="2" t="s">
        <v>45</v>
      </c>
      <c r="K312" s="2" t="s">
        <v>46</v>
      </c>
      <c r="L312" s="2" t="s">
        <v>47</v>
      </c>
      <c r="M312" s="8" t="s">
        <v>412</v>
      </c>
    </row>
    <row r="313">
      <c r="A313" s="6"/>
      <c r="B313" s="7" t="s">
        <v>974</v>
      </c>
      <c r="C313" s="8" t="s">
        <v>417</v>
      </c>
      <c r="D313" s="2" t="s">
        <v>31</v>
      </c>
      <c r="E313" s="6" t="s">
        <v>415</v>
      </c>
      <c r="F313" s="2" t="s">
        <v>39</v>
      </c>
      <c r="G313" s="2" t="s">
        <v>21</v>
      </c>
      <c r="H313" s="2" t="s">
        <v>42</v>
      </c>
      <c r="I313" s="2" t="s">
        <v>43</v>
      </c>
      <c r="J313" s="2" t="s">
        <v>45</v>
      </c>
      <c r="K313" s="2" t="s">
        <v>46</v>
      </c>
      <c r="L313" s="2" t="s">
        <v>47</v>
      </c>
      <c r="M313" s="8" t="s">
        <v>416</v>
      </c>
    </row>
    <row r="314">
      <c r="A314" s="6"/>
      <c r="B314" s="7" t="s">
        <v>977</v>
      </c>
      <c r="C314" s="8" t="s">
        <v>424</v>
      </c>
      <c r="D314" s="2" t="s">
        <v>31</v>
      </c>
      <c r="E314" s="6" t="s">
        <v>422</v>
      </c>
      <c r="F314" s="2" t="s">
        <v>39</v>
      </c>
      <c r="G314" s="2" t="s">
        <v>21</v>
      </c>
      <c r="H314" s="2" t="s">
        <v>42</v>
      </c>
      <c r="I314" s="2" t="s">
        <v>43</v>
      </c>
      <c r="J314" s="2" t="s">
        <v>45</v>
      </c>
      <c r="K314" s="2" t="s">
        <v>46</v>
      </c>
      <c r="L314" s="2" t="s">
        <v>47</v>
      </c>
      <c r="M314" s="8" t="s">
        <v>423</v>
      </c>
    </row>
    <row r="315">
      <c r="A315" s="6"/>
      <c r="B315" s="7" t="s">
        <v>980</v>
      </c>
      <c r="C315" s="8" t="s">
        <v>427</v>
      </c>
      <c r="D315" s="2" t="s">
        <v>31</v>
      </c>
      <c r="E315" s="6" t="s">
        <v>84</v>
      </c>
      <c r="F315" s="2" t="s">
        <v>39</v>
      </c>
      <c r="G315" s="2" t="s">
        <v>21</v>
      </c>
      <c r="H315" s="2" t="s">
        <v>42</v>
      </c>
      <c r="I315" s="2" t="s">
        <v>43</v>
      </c>
      <c r="J315" s="2" t="s">
        <v>45</v>
      </c>
      <c r="K315" s="2" t="s">
        <v>46</v>
      </c>
      <c r="L315" s="2" t="s">
        <v>47</v>
      </c>
      <c r="M315" s="8" t="s">
        <v>426</v>
      </c>
    </row>
    <row r="316">
      <c r="A316" s="6"/>
      <c r="B316" s="7" t="s">
        <v>985</v>
      </c>
      <c r="C316" s="8" t="s">
        <v>431</v>
      </c>
      <c r="D316" s="2" t="s">
        <v>31</v>
      </c>
      <c r="E316" s="6" t="s">
        <v>429</v>
      </c>
      <c r="F316" s="2" t="s">
        <v>39</v>
      </c>
      <c r="G316" s="2" t="s">
        <v>21</v>
      </c>
      <c r="H316" s="2" t="s">
        <v>42</v>
      </c>
      <c r="I316" s="2" t="s">
        <v>43</v>
      </c>
      <c r="J316" s="2" t="s">
        <v>45</v>
      </c>
      <c r="K316" s="2" t="s">
        <v>46</v>
      </c>
      <c r="L316" s="2" t="s">
        <v>47</v>
      </c>
      <c r="M316" s="8" t="s">
        <v>430</v>
      </c>
    </row>
    <row r="317">
      <c r="A317" s="6"/>
      <c r="B317" s="7" t="s">
        <v>989</v>
      </c>
      <c r="C317" s="8" t="s">
        <v>436</v>
      </c>
      <c r="D317" s="2" t="s">
        <v>31</v>
      </c>
      <c r="E317" s="6" t="s">
        <v>434</v>
      </c>
      <c r="F317" s="2" t="s">
        <v>39</v>
      </c>
      <c r="G317" s="2" t="s">
        <v>21</v>
      </c>
      <c r="H317" s="2" t="s">
        <v>42</v>
      </c>
      <c r="I317" s="2" t="s">
        <v>43</v>
      </c>
      <c r="J317" s="2" t="s">
        <v>45</v>
      </c>
      <c r="K317" s="2" t="s">
        <v>46</v>
      </c>
      <c r="L317" s="2" t="s">
        <v>47</v>
      </c>
      <c r="M317" s="8" t="s">
        <v>435</v>
      </c>
    </row>
    <row r="318">
      <c r="A318" s="6"/>
      <c r="B318" s="7" t="s">
        <v>992</v>
      </c>
      <c r="C318" s="8" t="s">
        <v>443</v>
      </c>
      <c r="D318" s="2" t="s">
        <v>31</v>
      </c>
      <c r="E318" s="6" t="s">
        <v>441</v>
      </c>
      <c r="F318" s="2" t="s">
        <v>39</v>
      </c>
      <c r="G318" s="2" t="s">
        <v>21</v>
      </c>
      <c r="H318" s="2" t="s">
        <v>42</v>
      </c>
      <c r="I318" s="2" t="s">
        <v>43</v>
      </c>
      <c r="J318" s="2" t="s">
        <v>45</v>
      </c>
      <c r="K318" s="2" t="s">
        <v>46</v>
      </c>
      <c r="L318" s="2" t="s">
        <v>47</v>
      </c>
      <c r="M318" s="8" t="s">
        <v>442</v>
      </c>
    </row>
    <row r="319">
      <c r="A319" s="6"/>
      <c r="B319" s="7" t="s">
        <v>996</v>
      </c>
      <c r="C319" s="8" t="s">
        <v>447</v>
      </c>
      <c r="D319" s="2" t="s">
        <v>31</v>
      </c>
      <c r="E319" s="6" t="s">
        <v>445</v>
      </c>
      <c r="F319" s="2" t="s">
        <v>39</v>
      </c>
      <c r="G319" s="2" t="s">
        <v>21</v>
      </c>
      <c r="H319" s="2" t="s">
        <v>42</v>
      </c>
      <c r="I319" s="2" t="s">
        <v>43</v>
      </c>
      <c r="J319" s="2" t="s">
        <v>45</v>
      </c>
      <c r="K319" s="2" t="s">
        <v>46</v>
      </c>
      <c r="L319" s="2" t="s">
        <v>47</v>
      </c>
      <c r="M319" s="8" t="s">
        <v>446</v>
      </c>
    </row>
    <row r="320">
      <c r="A320" s="6"/>
      <c r="B320" s="7" t="s">
        <v>1000</v>
      </c>
      <c r="C320" s="8" t="s">
        <v>454</v>
      </c>
      <c r="D320" s="2" t="s">
        <v>31</v>
      </c>
      <c r="E320" s="6" t="s">
        <v>451</v>
      </c>
      <c r="F320" s="2" t="s">
        <v>39</v>
      </c>
      <c r="G320" s="2" t="s">
        <v>21</v>
      </c>
      <c r="H320" s="2" t="s">
        <v>42</v>
      </c>
      <c r="I320" s="2" t="s">
        <v>43</v>
      </c>
      <c r="J320" s="2" t="s">
        <v>45</v>
      </c>
      <c r="K320" s="2" t="s">
        <v>46</v>
      </c>
      <c r="L320" s="2" t="s">
        <v>47</v>
      </c>
      <c r="M320" s="8" t="s">
        <v>453</v>
      </c>
    </row>
    <row r="321">
      <c r="A321" s="6"/>
      <c r="B321" s="7" t="s">
        <v>1003</v>
      </c>
      <c r="C321" s="8" t="s">
        <v>459</v>
      </c>
      <c r="D321" s="2" t="s">
        <v>31</v>
      </c>
      <c r="E321" s="6" t="s">
        <v>457</v>
      </c>
      <c r="F321" s="2" t="s">
        <v>39</v>
      </c>
      <c r="G321" s="2" t="s">
        <v>21</v>
      </c>
      <c r="H321" s="2" t="s">
        <v>42</v>
      </c>
      <c r="I321" s="2" t="s">
        <v>43</v>
      </c>
      <c r="J321" s="2" t="s">
        <v>45</v>
      </c>
      <c r="K321" s="2" t="s">
        <v>46</v>
      </c>
      <c r="L321" s="2" t="s">
        <v>47</v>
      </c>
      <c r="M321" s="8" t="s">
        <v>458</v>
      </c>
    </row>
    <row r="322">
      <c r="A322" s="6"/>
      <c r="B322" s="7" t="s">
        <v>1007</v>
      </c>
      <c r="C322" s="8" t="s">
        <v>466</v>
      </c>
      <c r="D322" s="2" t="s">
        <v>31</v>
      </c>
      <c r="E322" s="6" t="s">
        <v>464</v>
      </c>
      <c r="F322" s="2" t="s">
        <v>39</v>
      </c>
      <c r="G322" s="2" t="s">
        <v>21</v>
      </c>
      <c r="H322" s="2" t="s">
        <v>42</v>
      </c>
      <c r="I322" s="2" t="s">
        <v>43</v>
      </c>
      <c r="J322" s="2" t="s">
        <v>45</v>
      </c>
      <c r="K322" s="2" t="s">
        <v>46</v>
      </c>
      <c r="L322" s="2" t="s">
        <v>47</v>
      </c>
      <c r="M322" s="8" t="s">
        <v>465</v>
      </c>
    </row>
    <row r="323">
      <c r="A323" s="6"/>
      <c r="B323" s="7" t="s">
        <v>1012</v>
      </c>
      <c r="C323" s="8" t="s">
        <v>469</v>
      </c>
      <c r="D323" s="2" t="s">
        <v>31</v>
      </c>
      <c r="E323" s="6" t="s">
        <v>258</v>
      </c>
      <c r="F323" s="2" t="s">
        <v>39</v>
      </c>
      <c r="G323" s="2" t="s">
        <v>21</v>
      </c>
      <c r="H323" s="2" t="s">
        <v>42</v>
      </c>
      <c r="I323" s="2" t="s">
        <v>43</v>
      </c>
      <c r="J323" s="2" t="s">
        <v>45</v>
      </c>
      <c r="K323" s="2" t="s">
        <v>46</v>
      </c>
      <c r="L323" s="2" t="s">
        <v>47</v>
      </c>
      <c r="M323" s="8" t="s">
        <v>468</v>
      </c>
    </row>
    <row r="324">
      <c r="A324" s="6"/>
      <c r="B324" s="7" t="s">
        <v>1013</v>
      </c>
      <c r="C324" s="8" t="s">
        <v>475</v>
      </c>
      <c r="D324" s="2" t="s">
        <v>31</v>
      </c>
      <c r="E324" s="6" t="s">
        <v>291</v>
      </c>
      <c r="F324" s="2" t="s">
        <v>39</v>
      </c>
      <c r="G324" s="2" t="s">
        <v>21</v>
      </c>
      <c r="H324" s="2" t="s">
        <v>42</v>
      </c>
      <c r="I324" s="2" t="s">
        <v>43</v>
      </c>
      <c r="J324" s="2" t="s">
        <v>45</v>
      </c>
      <c r="K324" s="2" t="s">
        <v>46</v>
      </c>
      <c r="L324" s="2" t="s">
        <v>47</v>
      </c>
      <c r="M324" s="8" t="s">
        <v>474</v>
      </c>
    </row>
    <row r="325">
      <c r="A325" s="6"/>
      <c r="B325" s="7" t="s">
        <v>1018</v>
      </c>
      <c r="C325" s="8" t="s">
        <v>481</v>
      </c>
      <c r="D325" s="2" t="s">
        <v>31</v>
      </c>
      <c r="E325" s="6" t="s">
        <v>478</v>
      </c>
      <c r="F325" s="2" t="s">
        <v>39</v>
      </c>
      <c r="G325" s="2" t="s">
        <v>21</v>
      </c>
      <c r="H325" s="2" t="s">
        <v>42</v>
      </c>
      <c r="I325" s="2" t="s">
        <v>43</v>
      </c>
      <c r="J325" s="2" t="s">
        <v>45</v>
      </c>
      <c r="K325" s="2" t="s">
        <v>46</v>
      </c>
      <c r="L325" s="2" t="s">
        <v>47</v>
      </c>
      <c r="M325" s="8" t="s">
        <v>479</v>
      </c>
    </row>
    <row r="326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>
      <c r="A939" s="6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>
      <c r="A940" s="6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>
      <c r="A941" s="6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>
      <c r="A942" s="6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>
      <c r="A943" s="6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>
      <c r="A944" s="6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>
      <c r="A945" s="6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>
      <c r="A946" s="6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>
      <c r="A947" s="6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>
      <c r="A948" s="6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>
      <c r="A949" s="6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>
      <c r="A950" s="6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>
      <c r="A951" s="6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>
      <c r="A952" s="6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>
      <c r="A953" s="6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>
      <c r="A954" s="6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>
      <c r="A955" s="6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>
      <c r="A956" s="6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>
      <c r="A957" s="6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>
      <c r="A958" s="6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>
      <c r="A959" s="6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>
      <c r="A960" s="6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>
      <c r="A961" s="6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</row>
  </sheetData>
  <mergeCells count="1">
    <mergeCell ref="A6:M6"/>
  </mergeCells>
  <dataValidations>
    <dataValidation type="list" allowBlank="1" showErrorMessage="1" sqref="L7:L961">
      <formula1>Sheet2!$I$1:$I$2</formula1>
    </dataValidation>
    <dataValidation type="list" allowBlank="1" showErrorMessage="1" sqref="D7:D961">
      <formula1>Sheet2!$A$1:$A$5</formula1>
    </dataValidation>
    <dataValidation type="list" allowBlank="1" showErrorMessage="1" sqref="F7:F961">
      <formula1>Sheet2!$C$1:$C$2</formula1>
    </dataValidation>
    <dataValidation type="list" allowBlank="1" showErrorMessage="1" sqref="H7:H961">
      <formula1>Sheet2!$E$1:$E$2</formula1>
    </dataValidation>
    <dataValidation type="list" allowBlank="1" showErrorMessage="1" sqref="J7:J961">
      <formula1>Sheet2!$G$1:$G$5</formula1>
    </dataValidation>
    <dataValidation type="list" allowBlank="1" showErrorMessage="1" sqref="K7:K961">
      <formula1>Sheet2!$H$1:$H$2</formula1>
    </dataValidation>
    <dataValidation type="list" allowBlank="1" showErrorMessage="1" sqref="G7:G961">
      <formula1>Sheet2!$D$1:$D$5</formula1>
    </dataValidation>
  </dataValidations>
  <hyperlinks>
    <hyperlink r:id="rId1" ref="C7"/>
    <hyperlink r:id="rId2" ref="M7"/>
    <hyperlink r:id="rId3" ref="C8"/>
    <hyperlink r:id="rId4" ref="M8"/>
    <hyperlink r:id="rId5" ref="C9"/>
    <hyperlink r:id="rId6" ref="M9"/>
    <hyperlink r:id="rId7" ref="C10"/>
    <hyperlink r:id="rId8" ref="M10"/>
    <hyperlink r:id="rId9" ref="C11"/>
    <hyperlink r:id="rId10" ref="M11"/>
    <hyperlink r:id="rId11" ref="C12"/>
    <hyperlink r:id="rId12" ref="M12"/>
    <hyperlink r:id="rId13" ref="C13"/>
    <hyperlink r:id="rId14" ref="M13"/>
    <hyperlink r:id="rId15" ref="C14"/>
    <hyperlink r:id="rId16" ref="M14"/>
    <hyperlink r:id="rId17" ref="C15"/>
    <hyperlink r:id="rId18" ref="M15"/>
    <hyperlink r:id="rId19" ref="C16"/>
    <hyperlink r:id="rId20" ref="M16"/>
    <hyperlink r:id="rId21" ref="C17"/>
    <hyperlink r:id="rId22" ref="M17"/>
    <hyperlink r:id="rId23" ref="C18"/>
    <hyperlink r:id="rId24" ref="M18"/>
    <hyperlink r:id="rId25" ref="C19"/>
    <hyperlink r:id="rId26" ref="M19"/>
    <hyperlink r:id="rId27" ref="C20"/>
    <hyperlink r:id="rId28" ref="M20"/>
    <hyperlink r:id="rId29" ref="C21"/>
    <hyperlink r:id="rId30" ref="M21"/>
    <hyperlink r:id="rId31" ref="C22"/>
    <hyperlink r:id="rId32" ref="M22"/>
    <hyperlink r:id="rId33" ref="C23"/>
    <hyperlink r:id="rId34" ref="M23"/>
    <hyperlink r:id="rId35" ref="C24"/>
    <hyperlink r:id="rId36" ref="M24"/>
    <hyperlink r:id="rId37" ref="C25"/>
    <hyperlink r:id="rId38" ref="M25"/>
    <hyperlink r:id="rId39" ref="C26"/>
    <hyperlink r:id="rId40" ref="M26"/>
    <hyperlink r:id="rId41" ref="C27"/>
    <hyperlink r:id="rId42" ref="M27"/>
    <hyperlink r:id="rId43" ref="C28"/>
    <hyperlink r:id="rId44" ref="M28"/>
    <hyperlink r:id="rId45" ref="C29"/>
    <hyperlink r:id="rId46" ref="M29"/>
    <hyperlink r:id="rId47" ref="C30"/>
    <hyperlink r:id="rId48" ref="M30"/>
    <hyperlink r:id="rId49" ref="C31"/>
    <hyperlink r:id="rId50" ref="M31"/>
    <hyperlink r:id="rId51" ref="C32"/>
    <hyperlink r:id="rId52" ref="M32"/>
    <hyperlink r:id="rId53" ref="C33"/>
    <hyperlink r:id="rId54" ref="M33"/>
    <hyperlink r:id="rId55" ref="C34"/>
    <hyperlink r:id="rId56" ref="M34"/>
    <hyperlink r:id="rId57" ref="C35"/>
    <hyperlink r:id="rId58" ref="M35"/>
    <hyperlink r:id="rId59" ref="C36"/>
    <hyperlink r:id="rId60" ref="M36"/>
    <hyperlink r:id="rId61" ref="C37"/>
    <hyperlink r:id="rId62" ref="M37"/>
    <hyperlink r:id="rId63" ref="C38"/>
    <hyperlink r:id="rId64" ref="M38"/>
    <hyperlink r:id="rId65" ref="C39"/>
    <hyperlink r:id="rId66" ref="M39"/>
    <hyperlink r:id="rId67" ref="C40"/>
    <hyperlink r:id="rId68" ref="M40"/>
    <hyperlink r:id="rId69" ref="C41"/>
    <hyperlink r:id="rId70" ref="M41"/>
    <hyperlink r:id="rId71" ref="C42"/>
    <hyperlink r:id="rId72" ref="M42"/>
    <hyperlink r:id="rId73" ref="C43"/>
    <hyperlink r:id="rId74" ref="M43"/>
    <hyperlink r:id="rId75" ref="C44"/>
    <hyperlink r:id="rId76" ref="M44"/>
    <hyperlink r:id="rId77" ref="C45"/>
    <hyperlink r:id="rId78" ref="M45"/>
    <hyperlink r:id="rId79" ref="C46"/>
    <hyperlink r:id="rId80" ref="M46"/>
    <hyperlink r:id="rId81" ref="C47"/>
    <hyperlink r:id="rId82" ref="M47"/>
    <hyperlink r:id="rId83" ref="C48"/>
    <hyperlink r:id="rId84" ref="M48"/>
    <hyperlink r:id="rId85" ref="C49"/>
    <hyperlink r:id="rId86" ref="M49"/>
    <hyperlink r:id="rId87" ref="C50"/>
    <hyperlink r:id="rId88" ref="M50"/>
    <hyperlink r:id="rId89" ref="C51"/>
    <hyperlink r:id="rId90" ref="M51"/>
    <hyperlink r:id="rId91" ref="C52"/>
    <hyperlink r:id="rId92" ref="M52"/>
    <hyperlink r:id="rId93" ref="C53"/>
    <hyperlink r:id="rId94" ref="M53"/>
    <hyperlink r:id="rId95" ref="C54"/>
    <hyperlink r:id="rId96" ref="M54"/>
    <hyperlink r:id="rId97" ref="C55"/>
    <hyperlink r:id="rId98" ref="M55"/>
    <hyperlink r:id="rId99" ref="C56"/>
    <hyperlink r:id="rId100" ref="M56"/>
    <hyperlink r:id="rId101" ref="C57"/>
    <hyperlink r:id="rId102" ref="M57"/>
    <hyperlink r:id="rId103" ref="C58"/>
    <hyperlink r:id="rId104" ref="M58"/>
    <hyperlink r:id="rId105" ref="C59"/>
    <hyperlink r:id="rId106" ref="M59"/>
    <hyperlink r:id="rId107" ref="C60"/>
    <hyperlink r:id="rId108" ref="M60"/>
    <hyperlink r:id="rId109" ref="C61"/>
    <hyperlink r:id="rId110" ref="M61"/>
    <hyperlink r:id="rId111" ref="C62"/>
    <hyperlink r:id="rId112" ref="M62"/>
    <hyperlink r:id="rId113" ref="C63"/>
    <hyperlink r:id="rId114" ref="M63"/>
    <hyperlink r:id="rId115" ref="C64"/>
    <hyperlink r:id="rId116" ref="M64"/>
    <hyperlink r:id="rId117" ref="C65"/>
    <hyperlink r:id="rId118" ref="M65"/>
    <hyperlink r:id="rId119" ref="C66"/>
    <hyperlink r:id="rId120" ref="M66"/>
    <hyperlink r:id="rId121" ref="C67"/>
    <hyperlink r:id="rId122" ref="M67"/>
    <hyperlink r:id="rId123" ref="C68"/>
    <hyperlink r:id="rId124" ref="M68"/>
    <hyperlink r:id="rId125" ref="C69"/>
    <hyperlink r:id="rId126" ref="M69"/>
    <hyperlink r:id="rId127" ref="C70"/>
    <hyperlink r:id="rId128" ref="M70"/>
    <hyperlink r:id="rId129" ref="C71"/>
    <hyperlink r:id="rId130" ref="M71"/>
    <hyperlink r:id="rId131" ref="C72"/>
    <hyperlink r:id="rId132" ref="M72"/>
    <hyperlink r:id="rId133" ref="C73"/>
    <hyperlink r:id="rId134" ref="M73"/>
    <hyperlink r:id="rId135" ref="C74"/>
    <hyperlink r:id="rId136" ref="M74"/>
    <hyperlink r:id="rId137" ref="C75"/>
    <hyperlink r:id="rId138" ref="M75"/>
    <hyperlink r:id="rId139" ref="C76"/>
    <hyperlink r:id="rId140" ref="M76"/>
    <hyperlink r:id="rId141" ref="C77"/>
    <hyperlink r:id="rId142" ref="M77"/>
    <hyperlink r:id="rId143" ref="C78"/>
    <hyperlink r:id="rId144" ref="M78"/>
    <hyperlink r:id="rId145" ref="C79"/>
    <hyperlink r:id="rId146" ref="M79"/>
    <hyperlink r:id="rId147" ref="M80"/>
    <hyperlink r:id="rId148" ref="C81"/>
    <hyperlink r:id="rId149" ref="M81"/>
    <hyperlink r:id="rId150" ref="C82"/>
    <hyperlink r:id="rId151" ref="M82"/>
    <hyperlink r:id="rId152" ref="C83"/>
    <hyperlink r:id="rId153" ref="M83"/>
    <hyperlink r:id="rId154" ref="C84"/>
    <hyperlink r:id="rId155" ref="M84"/>
    <hyperlink r:id="rId156" ref="C85"/>
    <hyperlink r:id="rId157" ref="M85"/>
    <hyperlink r:id="rId158" ref="C86"/>
    <hyperlink r:id="rId159" ref="M86"/>
    <hyperlink r:id="rId160" ref="C87"/>
    <hyperlink r:id="rId161" ref="M87"/>
    <hyperlink r:id="rId162" ref="C88"/>
    <hyperlink r:id="rId163" ref="M88"/>
    <hyperlink r:id="rId164" ref="C89"/>
    <hyperlink r:id="rId165" ref="M89"/>
    <hyperlink r:id="rId166" ref="C90"/>
    <hyperlink r:id="rId167" ref="M90"/>
    <hyperlink r:id="rId168" ref="C91"/>
    <hyperlink r:id="rId169" ref="M91"/>
    <hyperlink r:id="rId170" ref="C92"/>
    <hyperlink r:id="rId171" ref="M92"/>
    <hyperlink r:id="rId172" ref="C93"/>
    <hyperlink r:id="rId173" ref="M93"/>
    <hyperlink r:id="rId174" ref="C94"/>
    <hyperlink r:id="rId175" ref="M94"/>
    <hyperlink r:id="rId176" ref="C95"/>
    <hyperlink r:id="rId177" ref="M95"/>
    <hyperlink r:id="rId178" ref="C96"/>
    <hyperlink r:id="rId179" ref="M96"/>
    <hyperlink r:id="rId180" ref="C97"/>
    <hyperlink r:id="rId181" ref="M97"/>
    <hyperlink r:id="rId182" ref="C98"/>
    <hyperlink r:id="rId183" ref="M98"/>
    <hyperlink r:id="rId184" ref="C99"/>
    <hyperlink r:id="rId185" ref="M99"/>
    <hyperlink r:id="rId186" ref="C100"/>
    <hyperlink r:id="rId187" ref="M100"/>
    <hyperlink r:id="rId188" ref="C101"/>
    <hyperlink r:id="rId189" ref="M101"/>
    <hyperlink r:id="rId190" ref="C102"/>
    <hyperlink r:id="rId191" ref="M102"/>
    <hyperlink r:id="rId192" ref="C103"/>
    <hyperlink r:id="rId193" ref="M103"/>
    <hyperlink r:id="rId194" ref="C104"/>
    <hyperlink r:id="rId195" ref="M104"/>
    <hyperlink r:id="rId196" ref="C105"/>
    <hyperlink r:id="rId197" ref="M105"/>
    <hyperlink r:id="rId198" ref="C106"/>
    <hyperlink r:id="rId199" ref="M106"/>
    <hyperlink r:id="rId200" ref="C107"/>
    <hyperlink r:id="rId201" ref="M107"/>
    <hyperlink r:id="rId202" ref="C108"/>
    <hyperlink r:id="rId203" ref="M108"/>
    <hyperlink r:id="rId204" ref="C109"/>
    <hyperlink r:id="rId205" ref="M109"/>
    <hyperlink r:id="rId206" ref="C110"/>
    <hyperlink r:id="rId207" ref="M110"/>
    <hyperlink r:id="rId208" ref="C111"/>
    <hyperlink r:id="rId209" ref="M111"/>
    <hyperlink r:id="rId210" ref="C112"/>
    <hyperlink r:id="rId211" ref="M112"/>
    <hyperlink r:id="rId212" ref="C113"/>
    <hyperlink r:id="rId213" ref="M113"/>
    <hyperlink r:id="rId214" ref="C114"/>
    <hyperlink r:id="rId215" ref="M114"/>
    <hyperlink r:id="rId216" ref="C115"/>
    <hyperlink r:id="rId217" ref="M115"/>
    <hyperlink r:id="rId218" ref="C116"/>
    <hyperlink r:id="rId219" ref="M116"/>
    <hyperlink r:id="rId220" ref="C117"/>
    <hyperlink r:id="rId221" ref="M117"/>
    <hyperlink r:id="rId222" ref="C118"/>
    <hyperlink r:id="rId223" ref="M118"/>
    <hyperlink r:id="rId224" ref="C119"/>
    <hyperlink r:id="rId225" ref="M119"/>
    <hyperlink r:id="rId226" ref="C120"/>
    <hyperlink r:id="rId227" ref="M120"/>
    <hyperlink r:id="rId228" ref="C121"/>
    <hyperlink r:id="rId229" ref="M121"/>
    <hyperlink r:id="rId230" ref="C122"/>
    <hyperlink r:id="rId231" ref="M122"/>
    <hyperlink r:id="rId232" ref="C123"/>
    <hyperlink r:id="rId233" ref="M123"/>
    <hyperlink r:id="rId234" ref="C124"/>
    <hyperlink r:id="rId235" ref="M124"/>
    <hyperlink r:id="rId236" ref="C125"/>
    <hyperlink r:id="rId237" ref="M125"/>
    <hyperlink r:id="rId238" ref="C126"/>
    <hyperlink r:id="rId239" ref="M126"/>
    <hyperlink r:id="rId240" ref="C127"/>
    <hyperlink r:id="rId241" ref="M127"/>
    <hyperlink r:id="rId242" ref="C128"/>
    <hyperlink r:id="rId243" ref="M128"/>
    <hyperlink r:id="rId244" ref="C129"/>
    <hyperlink r:id="rId245" ref="M129"/>
    <hyperlink r:id="rId246" ref="C130"/>
    <hyperlink r:id="rId247" ref="M130"/>
    <hyperlink r:id="rId248" ref="C131"/>
    <hyperlink r:id="rId249" ref="M131"/>
    <hyperlink r:id="rId250" ref="C132"/>
    <hyperlink r:id="rId251" ref="M132"/>
    <hyperlink r:id="rId252" ref="C133"/>
    <hyperlink r:id="rId253" ref="M133"/>
    <hyperlink r:id="rId254" ref="C134"/>
    <hyperlink r:id="rId255" ref="M134"/>
    <hyperlink r:id="rId256" ref="C135"/>
    <hyperlink r:id="rId257" ref="M135"/>
    <hyperlink r:id="rId258" ref="C136"/>
    <hyperlink r:id="rId259" ref="M136"/>
    <hyperlink r:id="rId260" ref="C137"/>
    <hyperlink r:id="rId261" ref="M137"/>
    <hyperlink r:id="rId262" ref="C138"/>
    <hyperlink r:id="rId263" ref="M138"/>
    <hyperlink r:id="rId264" ref="C139"/>
    <hyperlink r:id="rId265" ref="M139"/>
    <hyperlink r:id="rId266" ref="C140"/>
    <hyperlink r:id="rId267" ref="M140"/>
    <hyperlink r:id="rId268" ref="C141"/>
    <hyperlink r:id="rId269" ref="M141"/>
    <hyperlink r:id="rId270" ref="C142"/>
    <hyperlink r:id="rId271" ref="M142"/>
    <hyperlink r:id="rId272" ref="C143"/>
    <hyperlink r:id="rId273" ref="M143"/>
    <hyperlink r:id="rId274" ref="C144"/>
    <hyperlink r:id="rId275" ref="M144"/>
    <hyperlink r:id="rId276" ref="C145"/>
    <hyperlink r:id="rId277" ref="M145"/>
    <hyperlink r:id="rId278" ref="C146"/>
    <hyperlink r:id="rId279" ref="M146"/>
    <hyperlink r:id="rId280" ref="C147"/>
    <hyperlink r:id="rId281" ref="M147"/>
    <hyperlink r:id="rId282" ref="C148"/>
    <hyperlink r:id="rId283" ref="M148"/>
    <hyperlink r:id="rId284" ref="C149"/>
    <hyperlink r:id="rId285" ref="M149"/>
    <hyperlink r:id="rId286" ref="C150"/>
    <hyperlink r:id="rId287" ref="M150"/>
    <hyperlink r:id="rId288" ref="C151"/>
    <hyperlink r:id="rId289" ref="M151"/>
    <hyperlink r:id="rId290" ref="C152"/>
    <hyperlink r:id="rId291" ref="M152"/>
    <hyperlink r:id="rId292" ref="C153"/>
    <hyperlink r:id="rId293" ref="M153"/>
    <hyperlink r:id="rId294" ref="C154"/>
    <hyperlink r:id="rId295" ref="M154"/>
    <hyperlink r:id="rId296" ref="C155"/>
    <hyperlink r:id="rId297" ref="M155"/>
    <hyperlink r:id="rId298" ref="M156"/>
    <hyperlink r:id="rId299" ref="C157"/>
    <hyperlink r:id="rId300" ref="M157"/>
    <hyperlink r:id="rId301" ref="C158"/>
    <hyperlink r:id="rId302" ref="C160"/>
    <hyperlink r:id="rId303" ref="C161"/>
    <hyperlink r:id="rId304" ref="C162"/>
    <hyperlink r:id="rId305" ref="C163"/>
    <hyperlink r:id="rId306" ref="C164"/>
    <hyperlink r:id="rId307" ref="C165"/>
    <hyperlink r:id="rId308" ref="C166"/>
    <hyperlink r:id="rId309" ref="C167"/>
    <hyperlink r:id="rId310" ref="C168"/>
    <hyperlink r:id="rId311" ref="C169"/>
    <hyperlink r:id="rId312" ref="C170"/>
    <hyperlink r:id="rId313" ref="C171"/>
    <hyperlink r:id="rId314" ref="C172"/>
    <hyperlink r:id="rId315" ref="C173"/>
    <hyperlink r:id="rId316" ref="C174"/>
    <hyperlink r:id="rId317" ref="M174"/>
    <hyperlink r:id="rId318" ref="C175"/>
    <hyperlink r:id="rId319" ref="C178"/>
    <hyperlink r:id="rId320" ref="C180"/>
    <hyperlink r:id="rId321" ref="C183"/>
    <hyperlink r:id="rId322" ref="C185"/>
    <hyperlink r:id="rId323" ref="C187"/>
    <hyperlink r:id="rId324" ref="C188"/>
    <hyperlink r:id="rId325" ref="C189"/>
    <hyperlink r:id="rId326" ref="C190"/>
    <hyperlink r:id="rId327" ref="C191"/>
    <hyperlink r:id="rId328" ref="C192"/>
    <hyperlink r:id="rId329" ref="M192"/>
    <hyperlink r:id="rId330" ref="C194"/>
    <hyperlink r:id="rId331" ref="C197"/>
    <hyperlink r:id="rId332" ref="C198"/>
    <hyperlink r:id="rId333" ref="C199"/>
    <hyperlink r:id="rId334" ref="C201"/>
    <hyperlink r:id="rId335" ref="C202"/>
    <hyperlink r:id="rId336" ref="C203"/>
    <hyperlink r:id="rId337" ref="C204"/>
    <hyperlink r:id="rId338" ref="C205"/>
    <hyperlink r:id="rId339" ref="C207"/>
    <hyperlink r:id="rId340" ref="C208"/>
    <hyperlink r:id="rId341" ref="C209"/>
    <hyperlink r:id="rId342" ref="C210"/>
    <hyperlink r:id="rId343" ref="C212"/>
    <hyperlink r:id="rId344" ref="C213"/>
    <hyperlink r:id="rId345" ref="C215"/>
    <hyperlink r:id="rId346" ref="C217"/>
    <hyperlink r:id="rId347" ref="C218"/>
    <hyperlink r:id="rId348" ref="C219"/>
    <hyperlink r:id="rId349" ref="C220"/>
    <hyperlink r:id="rId350" ref="C221"/>
    <hyperlink r:id="rId351" ref="C222"/>
    <hyperlink r:id="rId352" ref="C226"/>
    <hyperlink r:id="rId353" ref="C229"/>
    <hyperlink r:id="rId354" ref="C230"/>
    <hyperlink r:id="rId355" ref="C232"/>
    <hyperlink r:id="rId356" ref="M232"/>
    <hyperlink r:id="rId357" ref="C233"/>
    <hyperlink r:id="rId358" ref="C234"/>
    <hyperlink r:id="rId359" ref="C236"/>
    <hyperlink r:id="rId360" ref="C238"/>
    <hyperlink r:id="rId361" ref="C240"/>
    <hyperlink r:id="rId362" ref="C241"/>
    <hyperlink r:id="rId363" ref="C242"/>
    <hyperlink r:id="rId364" ref="C243"/>
    <hyperlink r:id="rId365" location="google_vignette" ref="C244"/>
    <hyperlink r:id="rId366" ref="C245"/>
    <hyperlink r:id="rId367" location="google_vignette" ref="C246"/>
    <hyperlink r:id="rId368" ref="C247"/>
    <hyperlink r:id="rId369" ref="C248"/>
    <hyperlink r:id="rId370" ref="C249"/>
    <hyperlink r:id="rId371" ref="M249"/>
    <hyperlink r:id="rId372" ref="C250"/>
    <hyperlink r:id="rId373" ref="M250"/>
    <hyperlink r:id="rId374" ref="C251"/>
    <hyperlink r:id="rId375" ref="M251"/>
    <hyperlink r:id="rId376" ref="C252"/>
    <hyperlink r:id="rId377" ref="M252"/>
    <hyperlink r:id="rId378" ref="C253"/>
    <hyperlink r:id="rId379" ref="M253"/>
    <hyperlink r:id="rId380" ref="C254"/>
    <hyperlink r:id="rId381" ref="M254"/>
    <hyperlink r:id="rId382" ref="C255"/>
    <hyperlink r:id="rId383" ref="M255"/>
    <hyperlink r:id="rId384" ref="C256"/>
    <hyperlink r:id="rId385" ref="M256"/>
    <hyperlink r:id="rId386" ref="C257"/>
    <hyperlink r:id="rId387" ref="M257"/>
    <hyperlink r:id="rId388" ref="C258"/>
    <hyperlink r:id="rId389" ref="M258"/>
    <hyperlink r:id="rId390" ref="C259"/>
    <hyperlink r:id="rId391" ref="M259"/>
    <hyperlink r:id="rId392" ref="C260"/>
    <hyperlink r:id="rId393" ref="M260"/>
    <hyperlink r:id="rId394" ref="C261"/>
    <hyperlink r:id="rId395" ref="M261"/>
    <hyperlink r:id="rId396" ref="C262"/>
    <hyperlink r:id="rId397" ref="M262"/>
    <hyperlink r:id="rId398" ref="C263"/>
    <hyperlink r:id="rId399" ref="M263"/>
    <hyperlink r:id="rId400" ref="C264"/>
    <hyperlink r:id="rId401" ref="M264"/>
    <hyperlink r:id="rId402" ref="C265"/>
    <hyperlink r:id="rId403" ref="M265"/>
    <hyperlink r:id="rId404" ref="C266"/>
    <hyperlink r:id="rId405" ref="M266"/>
    <hyperlink r:id="rId406" ref="C267"/>
    <hyperlink r:id="rId407" ref="M267"/>
    <hyperlink r:id="rId408" ref="C268"/>
    <hyperlink r:id="rId409" ref="M268"/>
    <hyperlink r:id="rId410" ref="C269"/>
    <hyperlink r:id="rId411" ref="M269"/>
    <hyperlink r:id="rId412" ref="C270"/>
    <hyperlink r:id="rId413" ref="M270"/>
    <hyperlink r:id="rId414" ref="C271"/>
    <hyperlink r:id="rId415" ref="M271"/>
    <hyperlink r:id="rId416" ref="C272"/>
    <hyperlink r:id="rId417" ref="M272"/>
    <hyperlink r:id="rId418" ref="C273"/>
    <hyperlink r:id="rId419" ref="M273"/>
    <hyperlink r:id="rId420" ref="C274"/>
    <hyperlink r:id="rId421" ref="M274"/>
    <hyperlink r:id="rId422" ref="C275"/>
    <hyperlink r:id="rId423" ref="M275"/>
    <hyperlink r:id="rId424" ref="C276"/>
    <hyperlink r:id="rId425" ref="M276"/>
    <hyperlink r:id="rId426" ref="C277"/>
    <hyperlink r:id="rId427" ref="M277"/>
    <hyperlink r:id="rId428" ref="C278"/>
    <hyperlink r:id="rId429" ref="M278"/>
    <hyperlink r:id="rId430" ref="C279"/>
    <hyperlink r:id="rId431" ref="M279"/>
    <hyperlink r:id="rId432" ref="C280"/>
    <hyperlink r:id="rId433" ref="M280"/>
    <hyperlink r:id="rId434" ref="C281"/>
    <hyperlink r:id="rId435" ref="M281"/>
    <hyperlink r:id="rId436" ref="C282"/>
    <hyperlink r:id="rId437" ref="M282"/>
    <hyperlink r:id="rId438" ref="C283"/>
    <hyperlink r:id="rId439" ref="M283"/>
    <hyperlink r:id="rId440" ref="C284"/>
    <hyperlink r:id="rId441" ref="M284"/>
    <hyperlink r:id="rId442" ref="C285"/>
    <hyperlink r:id="rId443" ref="M285"/>
    <hyperlink r:id="rId444" ref="C286"/>
    <hyperlink r:id="rId445" ref="M286"/>
    <hyperlink r:id="rId446" ref="C287"/>
    <hyperlink r:id="rId447" ref="M287"/>
    <hyperlink r:id="rId448" ref="C288"/>
    <hyperlink r:id="rId449" ref="M288"/>
    <hyperlink r:id="rId450" ref="C289"/>
    <hyperlink r:id="rId451" ref="M289"/>
    <hyperlink r:id="rId452" ref="C290"/>
    <hyperlink r:id="rId453" ref="M290"/>
    <hyperlink r:id="rId454" ref="C291"/>
    <hyperlink r:id="rId455" ref="M291"/>
    <hyperlink r:id="rId456" ref="C292"/>
    <hyperlink r:id="rId457" ref="M292"/>
    <hyperlink r:id="rId458" ref="C293"/>
    <hyperlink r:id="rId459" ref="M293"/>
    <hyperlink r:id="rId460" ref="C294"/>
    <hyperlink r:id="rId461" ref="M294"/>
    <hyperlink r:id="rId462" ref="C295"/>
    <hyperlink r:id="rId463" ref="M295"/>
    <hyperlink r:id="rId464" ref="C296"/>
    <hyperlink r:id="rId465" ref="M296"/>
    <hyperlink r:id="rId466" ref="C297"/>
    <hyperlink r:id="rId467" ref="M297"/>
    <hyperlink r:id="rId468" ref="C298"/>
    <hyperlink r:id="rId469" ref="M298"/>
    <hyperlink r:id="rId470" ref="C299"/>
    <hyperlink r:id="rId471" ref="M299"/>
    <hyperlink r:id="rId472" ref="C300"/>
    <hyperlink r:id="rId473" ref="M300"/>
    <hyperlink r:id="rId474" ref="C301"/>
    <hyperlink r:id="rId475" ref="M301"/>
    <hyperlink r:id="rId476" ref="C302"/>
    <hyperlink r:id="rId477" ref="M302"/>
    <hyperlink r:id="rId478" ref="C303"/>
    <hyperlink r:id="rId479" ref="M303"/>
    <hyperlink r:id="rId480" ref="C304"/>
    <hyperlink r:id="rId481" ref="M304"/>
    <hyperlink r:id="rId482" ref="C305"/>
    <hyperlink r:id="rId483" ref="M305"/>
    <hyperlink r:id="rId484" ref="C306"/>
    <hyperlink r:id="rId485" ref="M306"/>
    <hyperlink r:id="rId486" ref="C307"/>
    <hyperlink r:id="rId487" ref="M307"/>
    <hyperlink r:id="rId488" ref="C308"/>
    <hyperlink r:id="rId489" ref="M308"/>
    <hyperlink r:id="rId490" ref="C309"/>
    <hyperlink r:id="rId491" ref="M309"/>
    <hyperlink r:id="rId492" ref="C310"/>
    <hyperlink r:id="rId493" ref="M310"/>
    <hyperlink r:id="rId494" ref="C311"/>
    <hyperlink r:id="rId495" ref="M311"/>
    <hyperlink r:id="rId496" ref="C312"/>
    <hyperlink r:id="rId497" ref="M312"/>
    <hyperlink r:id="rId498" ref="C313"/>
    <hyperlink r:id="rId499" ref="M313"/>
    <hyperlink r:id="rId500" ref="C314"/>
    <hyperlink r:id="rId501" ref="M314"/>
    <hyperlink r:id="rId502" ref="C315"/>
    <hyperlink r:id="rId503" ref="M315"/>
    <hyperlink r:id="rId504" ref="C316"/>
    <hyperlink r:id="rId505" ref="M316"/>
    <hyperlink r:id="rId506" ref="C317"/>
    <hyperlink r:id="rId507" ref="M317"/>
    <hyperlink r:id="rId508" ref="C318"/>
    <hyperlink r:id="rId509" ref="M318"/>
    <hyperlink r:id="rId510" ref="C319"/>
    <hyperlink r:id="rId511" ref="M319"/>
    <hyperlink r:id="rId512" ref="C320"/>
    <hyperlink r:id="rId513" ref="M320"/>
    <hyperlink r:id="rId514" ref="C321"/>
    <hyperlink r:id="rId515" ref="M321"/>
    <hyperlink r:id="rId516" ref="C322"/>
    <hyperlink r:id="rId517" ref="M322"/>
    <hyperlink r:id="rId518" ref="C323"/>
    <hyperlink r:id="rId519" ref="M323"/>
    <hyperlink r:id="rId520" ref="C324"/>
    <hyperlink r:id="rId521" ref="M324"/>
    <hyperlink r:id="rId522" ref="C325"/>
    <hyperlink r:id="rId523" ref="M325"/>
  </hyperlinks>
  <drawing r:id="rId5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8" t="s">
        <v>4</v>
      </c>
      <c r="D1" s="2" t="s">
        <v>28</v>
      </c>
      <c r="E1" s="2" t="s">
        <v>0</v>
      </c>
      <c r="F1" s="2" t="s">
        <v>39</v>
      </c>
      <c r="G1" s="2" t="s">
        <v>21</v>
      </c>
      <c r="H1" s="2" t="s">
        <v>42</v>
      </c>
      <c r="I1" s="2" t="s">
        <v>43</v>
      </c>
      <c r="J1" s="2" t="s">
        <v>45</v>
      </c>
      <c r="K1" s="2" t="s">
        <v>46</v>
      </c>
      <c r="L1" s="2" t="s">
        <v>47</v>
      </c>
      <c r="M1" s="8" t="s">
        <v>48</v>
      </c>
      <c r="O1" s="5" t="str">
        <f t="shared" ref="O1:O230" si="1">if(A1="","",B1 &amp; "
Link: " &amp; C1 &amp; "
RSS Link: " &amp; M1)</f>
        <v>Amar Ujala - Uttar Pradesh
Link: https://www.amarujala.com/uttar-pradesh
RSS Link: https://www.amarujala.com/rss/uttar-pradesh.xml</v>
      </c>
    </row>
    <row r="2">
      <c r="A2" s="2" t="s">
        <v>2</v>
      </c>
      <c r="B2" s="2" t="s">
        <v>60</v>
      </c>
      <c r="C2" s="19" t="s">
        <v>61</v>
      </c>
      <c r="D2" s="2" t="s">
        <v>31</v>
      </c>
      <c r="E2" s="2" t="s">
        <v>66</v>
      </c>
      <c r="F2" s="2" t="s">
        <v>39</v>
      </c>
      <c r="G2" s="2" t="s">
        <v>21</v>
      </c>
      <c r="H2" s="2" t="s">
        <v>42</v>
      </c>
      <c r="I2" s="2" t="s">
        <v>43</v>
      </c>
      <c r="J2" s="2" t="s">
        <v>45</v>
      </c>
      <c r="K2" s="2" t="s">
        <v>46</v>
      </c>
      <c r="L2" s="2" t="s">
        <v>47</v>
      </c>
      <c r="M2" s="8" t="s">
        <v>68</v>
      </c>
      <c r="O2" s="5" t="str">
        <f t="shared" si="1"/>
        <v>Amar Ujala- Gorakhpur
Link: https://www.amarujala.com/uttar-pradesh/gorakhpur
RSS Link: https://www.amarujala.com/rss/gorakhpur.xml</v>
      </c>
    </row>
    <row r="3">
      <c r="A3" s="2" t="s">
        <v>2</v>
      </c>
      <c r="B3" s="2" t="s">
        <v>71</v>
      </c>
      <c r="C3" s="19" t="s">
        <v>73</v>
      </c>
      <c r="D3" s="2" t="s">
        <v>31</v>
      </c>
      <c r="E3" s="2" t="s">
        <v>75</v>
      </c>
      <c r="F3" s="2" t="s">
        <v>39</v>
      </c>
      <c r="G3" s="2" t="s">
        <v>21</v>
      </c>
      <c r="H3" s="2" t="s">
        <v>42</v>
      </c>
      <c r="I3" s="2" t="s">
        <v>43</v>
      </c>
      <c r="J3" s="2" t="s">
        <v>45</v>
      </c>
      <c r="K3" s="2" t="s">
        <v>46</v>
      </c>
      <c r="L3" s="2" t="s">
        <v>47</v>
      </c>
      <c r="M3" s="8" t="s">
        <v>76</v>
      </c>
      <c r="O3" s="5" t="str">
        <f t="shared" si="1"/>
        <v>Amar Ujala-Lucknow
Link: https://www.amarujala.com/uttar-pradesh/lucknow
RSS Link: https://www.amarujala.com/rss/lucknow.xml</v>
      </c>
    </row>
    <row r="4">
      <c r="A4" s="2" t="s">
        <v>2</v>
      </c>
      <c r="B4" s="2" t="s">
        <v>81</v>
      </c>
      <c r="C4" s="19" t="s">
        <v>82</v>
      </c>
      <c r="D4" s="2" t="s">
        <v>31</v>
      </c>
      <c r="E4" s="6" t="s">
        <v>84</v>
      </c>
      <c r="F4" s="2" t="s">
        <v>39</v>
      </c>
      <c r="G4" s="2" t="s">
        <v>21</v>
      </c>
      <c r="H4" s="2" t="s">
        <v>42</v>
      </c>
      <c r="I4" s="2" t="s">
        <v>43</v>
      </c>
      <c r="J4" s="2" t="s">
        <v>45</v>
      </c>
      <c r="K4" s="2" t="s">
        <v>46</v>
      </c>
      <c r="L4" s="2" t="s">
        <v>47</v>
      </c>
      <c r="M4" s="8" t="s">
        <v>85</v>
      </c>
      <c r="O4" s="5" t="str">
        <f t="shared" si="1"/>
        <v>Amar Ujala-Amroha
Link: https://www.amarujala.com/uttar-pradesh/amroha
RSS Link: https://www.amarujala.com/rss/amroha.xml</v>
      </c>
    </row>
    <row r="5">
      <c r="A5" s="2" t="s">
        <v>2</v>
      </c>
      <c r="B5" s="2" t="s">
        <v>89</v>
      </c>
      <c r="C5" s="8" t="s">
        <v>90</v>
      </c>
      <c r="D5" s="2" t="s">
        <v>31</v>
      </c>
      <c r="E5" s="6" t="s">
        <v>92</v>
      </c>
      <c r="F5" s="2" t="s">
        <v>39</v>
      </c>
      <c r="G5" s="2" t="s">
        <v>21</v>
      </c>
      <c r="H5" s="2" t="s">
        <v>42</v>
      </c>
      <c r="I5" s="2" t="s">
        <v>43</v>
      </c>
      <c r="J5" s="2" t="s">
        <v>45</v>
      </c>
      <c r="K5" s="2" t="s">
        <v>46</v>
      </c>
      <c r="L5" s="2" t="s">
        <v>47</v>
      </c>
      <c r="M5" s="8" t="s">
        <v>94</v>
      </c>
      <c r="O5" s="5" t="str">
        <f t="shared" si="1"/>
        <v>Amar Ujala-Amethi
Link: https://www.amarujala.com/uttar-pradesh/amethi
RSS Link: https://www.amarujala.com/rss/amethi.xml</v>
      </c>
    </row>
    <row r="6">
      <c r="A6" s="2" t="s">
        <v>2</v>
      </c>
      <c r="B6" s="2" t="s">
        <v>99</v>
      </c>
      <c r="C6" s="19" t="s">
        <v>100</v>
      </c>
      <c r="D6" s="2" t="s">
        <v>31</v>
      </c>
      <c r="E6" s="6" t="s">
        <v>104</v>
      </c>
      <c r="F6" s="2" t="s">
        <v>39</v>
      </c>
      <c r="G6" s="2" t="s">
        <v>21</v>
      </c>
      <c r="H6" s="2" t="s">
        <v>42</v>
      </c>
      <c r="I6" s="2" t="s">
        <v>43</v>
      </c>
      <c r="J6" s="2" t="s">
        <v>45</v>
      </c>
      <c r="K6" s="2" t="s">
        <v>46</v>
      </c>
      <c r="L6" s="2" t="s">
        <v>47</v>
      </c>
      <c r="M6" s="8" t="s">
        <v>106</v>
      </c>
      <c r="O6" s="5" t="str">
        <f t="shared" si="1"/>
        <v>Amar Ujala-Ambedkar Nagar
Link: https://www.amarujala.com/uttar-pradesh/ambedkar-nagar
RSS Link: https://www.amarujala.com/rss/ambedkar-nagar.xml</v>
      </c>
    </row>
    <row r="7">
      <c r="A7" s="2" t="s">
        <v>2</v>
      </c>
      <c r="B7" s="2" t="s">
        <v>110</v>
      </c>
      <c r="C7" s="19" t="s">
        <v>111</v>
      </c>
      <c r="D7" s="2" t="s">
        <v>31</v>
      </c>
      <c r="E7" s="6" t="s">
        <v>113</v>
      </c>
      <c r="F7" s="2" t="s">
        <v>39</v>
      </c>
      <c r="G7" s="2" t="s">
        <v>21</v>
      </c>
      <c r="H7" s="2" t="s">
        <v>42</v>
      </c>
      <c r="I7" s="2" t="s">
        <v>43</v>
      </c>
      <c r="J7" s="2" t="s">
        <v>45</v>
      </c>
      <c r="K7" s="2" t="s">
        <v>46</v>
      </c>
      <c r="L7" s="2" t="s">
        <v>47</v>
      </c>
      <c r="M7" s="8" t="s">
        <v>114</v>
      </c>
      <c r="O7" s="5" t="str">
        <f t="shared" si="1"/>
        <v>Amar Ujala-Faizabad
Link: https://www.amarujala.com/uttar-pradesh/faizabad
RSS Link: https://www.amarujala.com/rss/faizabad.xml</v>
      </c>
    </row>
    <row r="8">
      <c r="A8" s="2" t="s">
        <v>2</v>
      </c>
      <c r="B8" s="2" t="s">
        <v>116</v>
      </c>
      <c r="C8" s="19" t="s">
        <v>118</v>
      </c>
      <c r="D8" s="2" t="s">
        <v>31</v>
      </c>
      <c r="E8" s="6" t="s">
        <v>78</v>
      </c>
      <c r="F8" s="2" t="s">
        <v>39</v>
      </c>
      <c r="G8" s="2" t="s">
        <v>21</v>
      </c>
      <c r="H8" s="2" t="s">
        <v>42</v>
      </c>
      <c r="I8" s="2" t="s">
        <v>43</v>
      </c>
      <c r="J8" s="2" t="s">
        <v>45</v>
      </c>
      <c r="K8" s="2" t="s">
        <v>46</v>
      </c>
      <c r="L8" s="2" t="s">
        <v>47</v>
      </c>
      <c r="M8" s="8" t="s">
        <v>122</v>
      </c>
      <c r="O8" s="5" t="str">
        <f t="shared" si="1"/>
        <v>Amar Ujala-Aligarh
Link: https://www.amarujala.com/uttar-pradesh/aligarh
RSS Link: https://www.amarujala.com/rss/aligarh.xml</v>
      </c>
    </row>
    <row r="9">
      <c r="A9" s="2" t="s">
        <v>2</v>
      </c>
      <c r="B9" s="2" t="s">
        <v>128</v>
      </c>
      <c r="C9" s="19" t="s">
        <v>129</v>
      </c>
      <c r="D9" s="2" t="s">
        <v>31</v>
      </c>
      <c r="E9" s="6" t="s">
        <v>49</v>
      </c>
      <c r="F9" s="2" t="s">
        <v>39</v>
      </c>
      <c r="G9" s="2" t="s">
        <v>21</v>
      </c>
      <c r="H9" s="2" t="s">
        <v>42</v>
      </c>
      <c r="I9" s="2" t="s">
        <v>43</v>
      </c>
      <c r="J9" s="2" t="s">
        <v>45</v>
      </c>
      <c r="K9" s="2" t="s">
        <v>46</v>
      </c>
      <c r="L9" s="2" t="s">
        <v>47</v>
      </c>
      <c r="M9" s="8" t="s">
        <v>134</v>
      </c>
      <c r="O9" s="5" t="str">
        <f t="shared" si="1"/>
        <v>Amar Ujala-Agra
Link: https://www.amarujala.com/uttar-pradesh/agra
RSS Link: https://www.amarujala.com/rss/agra.xml</v>
      </c>
    </row>
    <row r="10">
      <c r="A10" s="2" t="s">
        <v>2</v>
      </c>
      <c r="B10" s="2" t="s">
        <v>139</v>
      </c>
      <c r="C10" s="19" t="s">
        <v>140</v>
      </c>
      <c r="D10" s="2" t="s">
        <v>31</v>
      </c>
      <c r="E10" s="6" t="s">
        <v>142</v>
      </c>
      <c r="F10" s="2" t="s">
        <v>39</v>
      </c>
      <c r="G10" s="2" t="s">
        <v>21</v>
      </c>
      <c r="H10" s="2" t="s">
        <v>42</v>
      </c>
      <c r="I10" s="2" t="s">
        <v>43</v>
      </c>
      <c r="J10" s="2" t="s">
        <v>45</v>
      </c>
      <c r="K10" s="2" t="s">
        <v>46</v>
      </c>
      <c r="L10" s="2" t="s">
        <v>47</v>
      </c>
      <c r="M10" s="8" t="s">
        <v>145</v>
      </c>
      <c r="O10" s="5" t="str">
        <f t="shared" si="1"/>
        <v>Amar Ujala-Azamgarh
Link: https://www.amarujala.com/uttar-pradesh/azamgarh
RSS Link: https://www.amarujala.com/rss/azamgarh.xml</v>
      </c>
    </row>
    <row r="11">
      <c r="A11" s="2" t="s">
        <v>2</v>
      </c>
      <c r="B11" s="2" t="s">
        <v>149</v>
      </c>
      <c r="C11" s="19" t="s">
        <v>151</v>
      </c>
      <c r="D11" s="2" t="s">
        <v>31</v>
      </c>
      <c r="E11" s="6" t="s">
        <v>95</v>
      </c>
      <c r="F11" s="2" t="s">
        <v>39</v>
      </c>
      <c r="G11" s="2" t="s">
        <v>21</v>
      </c>
      <c r="H11" s="2" t="s">
        <v>42</v>
      </c>
      <c r="I11" s="2" t="s">
        <v>43</v>
      </c>
      <c r="J11" s="2" t="s">
        <v>45</v>
      </c>
      <c r="K11" s="2" t="s">
        <v>46</v>
      </c>
      <c r="L11" s="2" t="s">
        <v>47</v>
      </c>
      <c r="M11" s="8" t="s">
        <v>154</v>
      </c>
      <c r="O11" s="5" t="str">
        <f t="shared" si="1"/>
        <v>Amar Ujala-Etawah
Link: https://www.amarujala.com/uttar-pradesh/etawah
RSS Link: https://www.amarujala.com/rss/etawah.xml</v>
      </c>
    </row>
    <row r="12">
      <c r="A12" s="2" t="s">
        <v>2</v>
      </c>
      <c r="B12" s="2" t="s">
        <v>157</v>
      </c>
      <c r="C12" s="19" t="s">
        <v>159</v>
      </c>
      <c r="D12" s="2" t="s">
        <v>31</v>
      </c>
      <c r="E12" s="6" t="s">
        <v>161</v>
      </c>
      <c r="F12" s="2" t="s">
        <v>39</v>
      </c>
      <c r="G12" s="2" t="s">
        <v>21</v>
      </c>
      <c r="H12" s="2" t="s">
        <v>42</v>
      </c>
      <c r="I12" s="2" t="s">
        <v>43</v>
      </c>
      <c r="J12" s="2" t="s">
        <v>45</v>
      </c>
      <c r="K12" s="2" t="s">
        <v>46</v>
      </c>
      <c r="L12" s="2" t="s">
        <v>47</v>
      </c>
      <c r="M12" s="8" t="s">
        <v>163</v>
      </c>
      <c r="O12" s="5" t="str">
        <f t="shared" si="1"/>
        <v>Amar Ujala-Unnao
Link: https://www.amarujala.com/uttar-pradesh/unnao
RSS Link: https://www.amarujala.com/rss/unnao.xml</v>
      </c>
    </row>
    <row r="13">
      <c r="A13" s="2" t="s">
        <v>2</v>
      </c>
      <c r="B13" s="2" t="s">
        <v>167</v>
      </c>
      <c r="C13" s="19" t="s">
        <v>168</v>
      </c>
      <c r="D13" s="2" t="s">
        <v>31</v>
      </c>
      <c r="E13" s="6" t="s">
        <v>86</v>
      </c>
      <c r="F13" s="2" t="s">
        <v>39</v>
      </c>
      <c r="G13" s="2" t="s">
        <v>21</v>
      </c>
      <c r="H13" s="2" t="s">
        <v>42</v>
      </c>
      <c r="I13" s="2" t="s">
        <v>43</v>
      </c>
      <c r="J13" s="2" t="s">
        <v>45</v>
      </c>
      <c r="K13" s="2" t="s">
        <v>46</v>
      </c>
      <c r="L13" s="2" t="s">
        <v>47</v>
      </c>
      <c r="M13" s="8" t="s">
        <v>173</v>
      </c>
      <c r="O13" s="5" t="str">
        <f t="shared" si="1"/>
        <v>Amar Ujala-Etah
Link: https://www.amarujala.com/uttar-pradesh/etah
RSS Link: https://www.amarujala.com/rss/etah.xml</v>
      </c>
    </row>
    <row r="14">
      <c r="A14" s="2" t="s">
        <v>2</v>
      </c>
      <c r="B14" s="2" t="s">
        <v>175</v>
      </c>
      <c r="C14" s="19" t="s">
        <v>177</v>
      </c>
      <c r="D14" s="2" t="s">
        <v>31</v>
      </c>
      <c r="E14" s="6" t="s">
        <v>181</v>
      </c>
      <c r="F14" s="2" t="s">
        <v>39</v>
      </c>
      <c r="G14" s="2" t="s">
        <v>21</v>
      </c>
      <c r="H14" s="2" t="s">
        <v>42</v>
      </c>
      <c r="I14" s="2" t="s">
        <v>43</v>
      </c>
      <c r="J14" s="2" t="s">
        <v>45</v>
      </c>
      <c r="K14" s="2" t="s">
        <v>46</v>
      </c>
      <c r="L14" s="2" t="s">
        <v>47</v>
      </c>
      <c r="M14" s="8" t="s">
        <v>183</v>
      </c>
      <c r="O14" s="5" t="str">
        <f t="shared" si="1"/>
        <v>Amar Ujala-Auraiya
Link: https://www.amarujala.com/uttar-pradesh/auraiya
RSS Link: https://www.amarujala.com/rss/auraiya.xml</v>
      </c>
    </row>
    <row r="15">
      <c r="A15" s="2" t="s">
        <v>2</v>
      </c>
      <c r="B15" s="2" t="s">
        <v>186</v>
      </c>
      <c r="C15" s="19" t="s">
        <v>188</v>
      </c>
      <c r="D15" s="2" t="s">
        <v>31</v>
      </c>
      <c r="E15" s="6" t="s">
        <v>190</v>
      </c>
      <c r="F15" s="2" t="s">
        <v>39</v>
      </c>
      <c r="G15" s="2" t="s">
        <v>21</v>
      </c>
      <c r="H15" s="2" t="s">
        <v>42</v>
      </c>
      <c r="I15" s="2" t="s">
        <v>43</v>
      </c>
      <c r="J15" s="2" t="s">
        <v>45</v>
      </c>
      <c r="K15" s="2" t="s">
        <v>46</v>
      </c>
      <c r="L15" s="2" t="s">
        <v>47</v>
      </c>
      <c r="M15" s="8" t="s">
        <v>192</v>
      </c>
      <c r="O15" s="5" t="str">
        <f t="shared" si="1"/>
        <v>Amar Ujala-Kannauj
Link: https://www.amarujala.com/uttar-pradesh/kannauj
RSS Link: https://www.amarujala.com/rss/kannauj.xml</v>
      </c>
    </row>
    <row r="16">
      <c r="A16" s="2" t="s">
        <v>2</v>
      </c>
      <c r="B16" s="2" t="s">
        <v>196</v>
      </c>
      <c r="C16" s="19" t="s">
        <v>197</v>
      </c>
      <c r="D16" s="2" t="s">
        <v>31</v>
      </c>
      <c r="E16" s="6" t="s">
        <v>199</v>
      </c>
      <c r="F16" s="2" t="s">
        <v>39</v>
      </c>
      <c r="G16" s="2" t="s">
        <v>21</v>
      </c>
      <c r="H16" s="2" t="s">
        <v>42</v>
      </c>
      <c r="I16" s="2" t="s">
        <v>43</v>
      </c>
      <c r="J16" s="2" t="s">
        <v>45</v>
      </c>
      <c r="K16" s="2" t="s">
        <v>46</v>
      </c>
      <c r="L16" s="2" t="s">
        <v>47</v>
      </c>
      <c r="M16" s="8" t="s">
        <v>203</v>
      </c>
      <c r="O16" s="5" t="str">
        <f t="shared" si="1"/>
        <v>Amar Ujala-Kanpur
Link: https://www.amarujala.com/uttar-pradesh/kanpur
RSS Link: https://www.amarujala.com/rss/kanpur.xml</v>
      </c>
    </row>
    <row r="17">
      <c r="A17" s="2" t="s">
        <v>2</v>
      </c>
      <c r="B17" s="2" t="s">
        <v>205</v>
      </c>
      <c r="C17" s="19" t="s">
        <v>206</v>
      </c>
      <c r="D17" s="2" t="s">
        <v>31</v>
      </c>
      <c r="E17" s="6" t="s">
        <v>210</v>
      </c>
      <c r="F17" s="2" t="s">
        <v>39</v>
      </c>
      <c r="G17" s="2" t="s">
        <v>21</v>
      </c>
      <c r="H17" s="2" t="s">
        <v>42</v>
      </c>
      <c r="I17" s="2" t="s">
        <v>43</v>
      </c>
      <c r="J17" s="2" t="s">
        <v>45</v>
      </c>
      <c r="K17" s="2" t="s">
        <v>46</v>
      </c>
      <c r="L17" s="2" t="s">
        <v>47</v>
      </c>
      <c r="M17" s="8" t="s">
        <v>212</v>
      </c>
      <c r="O17" s="5" t="str">
        <f t="shared" si="1"/>
        <v>Amar Ujala-Kushinagar
Link: https://www.amarujala.com/uttar-pradesh/kushinagar
RSS Link: https://www.amarujala.com/rss/kushinagar.xml</v>
      </c>
    </row>
    <row r="18">
      <c r="A18" s="2" t="s">
        <v>2</v>
      </c>
      <c r="B18" s="2" t="s">
        <v>215</v>
      </c>
      <c r="C18" s="19" t="s">
        <v>216</v>
      </c>
      <c r="D18" s="2" t="s">
        <v>31</v>
      </c>
      <c r="E18" s="6" t="s">
        <v>117</v>
      </c>
      <c r="F18" s="2" t="s">
        <v>39</v>
      </c>
      <c r="G18" s="2" t="s">
        <v>21</v>
      </c>
      <c r="H18" s="2" t="s">
        <v>42</v>
      </c>
      <c r="I18" s="2" t="s">
        <v>43</v>
      </c>
      <c r="J18" s="2" t="s">
        <v>45</v>
      </c>
      <c r="K18" s="2" t="s">
        <v>46</v>
      </c>
      <c r="L18" s="2" t="s">
        <v>47</v>
      </c>
      <c r="M18" s="8" t="s">
        <v>221</v>
      </c>
      <c r="O18" s="5" t="str">
        <f t="shared" si="1"/>
        <v>Amar Ujala-Kaushambi
Link: https://www.amarujala.com/uttar-pradesh/kaushambi
RSS Link: https://www.amarujala.com/rss/kaushambi.xml</v>
      </c>
    </row>
    <row r="19">
      <c r="A19" s="2" t="s">
        <v>2</v>
      </c>
      <c r="B19" s="2" t="s">
        <v>225</v>
      </c>
      <c r="C19" s="19" t="s">
        <v>226</v>
      </c>
      <c r="D19" s="2" t="s">
        <v>31</v>
      </c>
      <c r="E19" s="6" t="s">
        <v>231</v>
      </c>
      <c r="F19" s="2" t="s">
        <v>39</v>
      </c>
      <c r="G19" s="2" t="s">
        <v>21</v>
      </c>
      <c r="H19" s="2" t="s">
        <v>42</v>
      </c>
      <c r="I19" s="2" t="s">
        <v>43</v>
      </c>
      <c r="J19" s="2" t="s">
        <v>45</v>
      </c>
      <c r="K19" s="2" t="s">
        <v>46</v>
      </c>
      <c r="L19" s="2" t="s">
        <v>47</v>
      </c>
      <c r="M19" s="8" t="s">
        <v>232</v>
      </c>
      <c r="O19" s="5" t="str">
        <f t="shared" si="1"/>
        <v>Amar Ujala-Ghazipur
Link: https://www.amarujala.com/uttar-pradesh/ghazipur
RSS Link: https://www.amarujala.com/rss/ghazipur.xml</v>
      </c>
    </row>
    <row r="20">
      <c r="A20" s="2" t="s">
        <v>2</v>
      </c>
      <c r="B20" s="2" t="s">
        <v>236</v>
      </c>
      <c r="C20" s="19" t="s">
        <v>237</v>
      </c>
      <c r="D20" s="2" t="s">
        <v>31</v>
      </c>
      <c r="E20" s="6" t="s">
        <v>238</v>
      </c>
      <c r="F20" s="2" t="s">
        <v>39</v>
      </c>
      <c r="G20" s="2" t="s">
        <v>21</v>
      </c>
      <c r="H20" s="2" t="s">
        <v>42</v>
      </c>
      <c r="I20" s="2" t="s">
        <v>43</v>
      </c>
      <c r="J20" s="2" t="s">
        <v>45</v>
      </c>
      <c r="K20" s="2" t="s">
        <v>46</v>
      </c>
      <c r="L20" s="2" t="s">
        <v>47</v>
      </c>
      <c r="M20" s="8" t="s">
        <v>241</v>
      </c>
      <c r="O20" s="5" t="str">
        <f t="shared" si="1"/>
        <v>Amar Ujala-Gonda
Link: https://www.amarujala.com/uttar-pradesh/gonda
RSS Link: https://www.amarujala.com/rss/gonda.xml</v>
      </c>
    </row>
    <row r="21">
      <c r="A21" s="2" t="s">
        <v>2</v>
      </c>
      <c r="B21" s="2" t="s">
        <v>244</v>
      </c>
      <c r="C21" s="19" t="s">
        <v>245</v>
      </c>
      <c r="D21" s="2" t="s">
        <v>31</v>
      </c>
      <c r="E21" s="6" t="s">
        <v>248</v>
      </c>
      <c r="F21" s="2" t="s">
        <v>39</v>
      </c>
      <c r="G21" s="2" t="s">
        <v>21</v>
      </c>
      <c r="H21" s="2" t="s">
        <v>42</v>
      </c>
      <c r="I21" s="2" t="s">
        <v>43</v>
      </c>
      <c r="J21" s="2" t="s">
        <v>45</v>
      </c>
      <c r="K21" s="2" t="s">
        <v>46</v>
      </c>
      <c r="L21" s="2" t="s">
        <v>47</v>
      </c>
      <c r="M21" s="8" t="s">
        <v>249</v>
      </c>
      <c r="O21" s="5" t="str">
        <f t="shared" si="1"/>
        <v>Amar Ujala-Ghatampur
Link: https://www.amarujala.com/uttar-pradesh/ghatampur
RSS Link: https://www.amarujala.com/rss/ghatampur.xml</v>
      </c>
    </row>
    <row r="22">
      <c r="A22" s="2" t="s">
        <v>2</v>
      </c>
      <c r="B22" s="2" t="s">
        <v>254</v>
      </c>
      <c r="C22" s="19" t="s">
        <v>255</v>
      </c>
      <c r="D22" s="2" t="s">
        <v>31</v>
      </c>
      <c r="E22" s="6" t="s">
        <v>258</v>
      </c>
      <c r="F22" s="2" t="s">
        <v>39</v>
      </c>
      <c r="G22" s="2" t="s">
        <v>21</v>
      </c>
      <c r="H22" s="2" t="s">
        <v>42</v>
      </c>
      <c r="I22" s="2" t="s">
        <v>43</v>
      </c>
      <c r="J22" s="2" t="s">
        <v>45</v>
      </c>
      <c r="K22" s="2" t="s">
        <v>46</v>
      </c>
      <c r="L22" s="2" t="s">
        <v>47</v>
      </c>
      <c r="M22" s="8" t="s">
        <v>259</v>
      </c>
      <c r="O22" s="5" t="str">
        <f t="shared" si="1"/>
        <v>Amar Ujala-Chandauli
Link: https://www.amarujala.com/uttar-pradesh/chandauli
RSS Link: https://www.amarujala.com/rss/chandauli.xml</v>
      </c>
    </row>
    <row r="23">
      <c r="A23" s="2" t="s">
        <v>2</v>
      </c>
      <c r="B23" s="2" t="s">
        <v>263</v>
      </c>
      <c r="C23" s="19" t="s">
        <v>264</v>
      </c>
      <c r="D23" s="2" t="s">
        <v>31</v>
      </c>
      <c r="E23" s="6" t="s">
        <v>218</v>
      </c>
      <c r="F23" s="2" t="s">
        <v>39</v>
      </c>
      <c r="G23" s="2" t="s">
        <v>21</v>
      </c>
      <c r="H23" s="2" t="s">
        <v>42</v>
      </c>
      <c r="I23" s="2" t="s">
        <v>43</v>
      </c>
      <c r="J23" s="2" t="s">
        <v>45</v>
      </c>
      <c r="K23" s="2" t="s">
        <v>46</v>
      </c>
      <c r="L23" s="2" t="s">
        <v>47</v>
      </c>
      <c r="M23" s="8" t="s">
        <v>268</v>
      </c>
      <c r="O23" s="5" t="str">
        <f t="shared" si="1"/>
        <v>Amar Ujala-Chitrakoot
Link: https://www.amarujala.com/uttar-pradesh/chitrakoot
RSS Link: https://www.amarujala.com/rss/chitrakoot.xml</v>
      </c>
    </row>
    <row r="24">
      <c r="A24" s="2" t="s">
        <v>2</v>
      </c>
      <c r="B24" s="2" t="s">
        <v>273</v>
      </c>
      <c r="C24" s="19" t="s">
        <v>274</v>
      </c>
      <c r="D24" s="2" t="s">
        <v>31</v>
      </c>
      <c r="E24" s="6" t="s">
        <v>278</v>
      </c>
      <c r="F24" s="2" t="s">
        <v>39</v>
      </c>
      <c r="G24" s="2" t="s">
        <v>21</v>
      </c>
      <c r="H24" s="2" t="s">
        <v>42</v>
      </c>
      <c r="I24" s="2" t="s">
        <v>43</v>
      </c>
      <c r="J24" s="2" t="s">
        <v>45</v>
      </c>
      <c r="K24" s="2" t="s">
        <v>46</v>
      </c>
      <c r="L24" s="2" t="s">
        <v>47</v>
      </c>
      <c r="M24" s="8" t="s">
        <v>282</v>
      </c>
      <c r="O24" s="5" t="str">
        <f t="shared" si="1"/>
        <v>Amar Ujala-Jalaun
Link: https://www.amarujala.com/uttar-pradesh/jalaun
RSS Link: https://www.amarujala.com/rss/jalaun.xml</v>
      </c>
    </row>
    <row r="25">
      <c r="A25" s="2" t="s">
        <v>2</v>
      </c>
      <c r="B25" s="2" t="s">
        <v>286</v>
      </c>
      <c r="C25" s="19" t="s">
        <v>287</v>
      </c>
      <c r="D25" s="2" t="s">
        <v>31</v>
      </c>
      <c r="E25" s="6" t="s">
        <v>291</v>
      </c>
      <c r="F25" s="2" t="s">
        <v>39</v>
      </c>
      <c r="G25" s="2" t="s">
        <v>21</v>
      </c>
      <c r="H25" s="2" t="s">
        <v>42</v>
      </c>
      <c r="I25" s="2" t="s">
        <v>43</v>
      </c>
      <c r="J25" s="2" t="s">
        <v>45</v>
      </c>
      <c r="K25" s="2" t="s">
        <v>46</v>
      </c>
      <c r="L25" s="2" t="s">
        <v>47</v>
      </c>
      <c r="M25" s="8" t="s">
        <v>293</v>
      </c>
      <c r="O25" s="5" t="str">
        <f t="shared" si="1"/>
        <v>Amar Ujala-Jaunpur
Link: https://www.amarujala.com/uttar-pradesh/jaunpur
RSS Link: https://www.amarujala.com/rss/jaunpur.xml</v>
      </c>
    </row>
    <row r="26">
      <c r="A26" s="2" t="s">
        <v>2</v>
      </c>
      <c r="B26" s="2" t="s">
        <v>298</v>
      </c>
      <c r="C26" s="19" t="s">
        <v>299</v>
      </c>
      <c r="D26" s="2" t="s">
        <v>31</v>
      </c>
      <c r="E26" s="6" t="s">
        <v>301</v>
      </c>
      <c r="F26" s="2" t="s">
        <v>39</v>
      </c>
      <c r="G26" s="2" t="s">
        <v>21</v>
      </c>
      <c r="H26" s="2" t="s">
        <v>42</v>
      </c>
      <c r="I26" s="2" t="s">
        <v>43</v>
      </c>
      <c r="J26" s="2" t="s">
        <v>45</v>
      </c>
      <c r="K26" s="2" t="s">
        <v>46</v>
      </c>
      <c r="L26" s="2" t="s">
        <v>47</v>
      </c>
      <c r="M26" s="8" t="s">
        <v>304</v>
      </c>
      <c r="O26" s="5" t="str">
        <f t="shared" si="1"/>
        <v>Amar Ujala-Jhansi
Link: https://www.amarujala.com/uttar-pradesh/jhansi
RSS Link: https://www.amarujala.com/rss/jhansi.xml</v>
      </c>
    </row>
    <row r="27">
      <c r="A27" s="2" t="s">
        <v>2</v>
      </c>
      <c r="B27" s="2" t="s">
        <v>306</v>
      </c>
      <c r="C27" s="19" t="s">
        <v>307</v>
      </c>
      <c r="D27" s="2" t="s">
        <v>31</v>
      </c>
      <c r="E27" s="6" t="s">
        <v>283</v>
      </c>
      <c r="F27" s="2" t="s">
        <v>39</v>
      </c>
      <c r="G27" s="2" t="s">
        <v>21</v>
      </c>
      <c r="H27" s="2" t="s">
        <v>42</v>
      </c>
      <c r="I27" s="2" t="s">
        <v>43</v>
      </c>
      <c r="J27" s="2" t="s">
        <v>45</v>
      </c>
      <c r="K27" s="2" t="s">
        <v>46</v>
      </c>
      <c r="L27" s="2" t="s">
        <v>47</v>
      </c>
      <c r="M27" s="8" t="s">
        <v>310</v>
      </c>
      <c r="O27" s="5" t="str">
        <f t="shared" si="1"/>
        <v>Amar Ujala-Deoria
Link: https://www.amarujala.com/uttar-pradesh/deoria
RSS Link: https://www.amarujala.com/rss/deoria.xml</v>
      </c>
    </row>
    <row r="28">
      <c r="A28" s="2" t="s">
        <v>2</v>
      </c>
      <c r="B28" s="2" t="s">
        <v>314</v>
      </c>
      <c r="C28" s="19" t="s">
        <v>315</v>
      </c>
      <c r="D28" s="2" t="s">
        <v>31</v>
      </c>
      <c r="E28" s="6" t="s">
        <v>178</v>
      </c>
      <c r="F28" s="2" t="s">
        <v>39</v>
      </c>
      <c r="G28" s="2" t="s">
        <v>21</v>
      </c>
      <c r="H28" s="2" t="s">
        <v>42</v>
      </c>
      <c r="I28" s="2" t="s">
        <v>43</v>
      </c>
      <c r="J28" s="2" t="s">
        <v>45</v>
      </c>
      <c r="K28" s="2" t="s">
        <v>46</v>
      </c>
      <c r="L28" s="2" t="s">
        <v>47</v>
      </c>
      <c r="M28" s="8" t="s">
        <v>317</v>
      </c>
      <c r="O28" s="5" t="str">
        <f t="shared" si="1"/>
        <v>Amar Ujala-Pilibhit
Link: https://www.amarujala.com/uttar-pradesh/pilibhit
RSS Link: https://www.amarujala.com/rss/pilibhit.xml</v>
      </c>
    </row>
    <row r="29">
      <c r="A29" s="2" t="s">
        <v>2</v>
      </c>
      <c r="B29" s="2" t="s">
        <v>320</v>
      </c>
      <c r="C29" s="19" t="s">
        <v>321</v>
      </c>
      <c r="D29" s="2" t="s">
        <v>31</v>
      </c>
      <c r="E29" s="6" t="s">
        <v>136</v>
      </c>
      <c r="F29" s="2" t="s">
        <v>39</v>
      </c>
      <c r="G29" s="2" t="s">
        <v>21</v>
      </c>
      <c r="H29" s="2" t="s">
        <v>42</v>
      </c>
      <c r="I29" s="2" t="s">
        <v>43</v>
      </c>
      <c r="J29" s="2" t="s">
        <v>45</v>
      </c>
      <c r="K29" s="2" t="s">
        <v>46</v>
      </c>
      <c r="L29" s="2" t="s">
        <v>47</v>
      </c>
      <c r="M29" s="8" t="s">
        <v>325</v>
      </c>
      <c r="O29" s="5" t="str">
        <f t="shared" si="1"/>
        <v>Amar Ujala-Pratapgarh
Link: https://www.amarujala.com/uttar-pradesh/pratapgarh
RSS Link: https://www.amarujala.com/rss/pratapgarh.xml</v>
      </c>
    </row>
    <row r="30">
      <c r="A30" s="2" t="s">
        <v>2</v>
      </c>
      <c r="B30" s="2" t="s">
        <v>327</v>
      </c>
      <c r="C30" s="19" t="s">
        <v>328</v>
      </c>
      <c r="D30" s="2" t="s">
        <v>31</v>
      </c>
      <c r="E30" s="6" t="s">
        <v>331</v>
      </c>
      <c r="F30" s="2" t="s">
        <v>39</v>
      </c>
      <c r="G30" s="2" t="s">
        <v>21</v>
      </c>
      <c r="H30" s="2" t="s">
        <v>42</v>
      </c>
      <c r="I30" s="2" t="s">
        <v>43</v>
      </c>
      <c r="J30" s="2" t="s">
        <v>45</v>
      </c>
      <c r="K30" s="2" t="s">
        <v>46</v>
      </c>
      <c r="L30" s="2" t="s">
        <v>47</v>
      </c>
      <c r="M30" s="8" t="s">
        <v>333</v>
      </c>
      <c r="O30" s="5" t="str">
        <f t="shared" si="1"/>
        <v>Amar Ujala-Allahabad
Link: https://www.amarujala.com/uttar-pradesh/allahabad
RSS Link: https://www.amarujala.com/rss/allahabad.xml</v>
      </c>
    </row>
    <row r="31">
      <c r="A31" s="2" t="s">
        <v>2</v>
      </c>
      <c r="B31" s="2" t="s">
        <v>336</v>
      </c>
      <c r="C31" s="19" t="s">
        <v>337</v>
      </c>
      <c r="D31" s="2" t="s">
        <v>31</v>
      </c>
      <c r="E31" s="6" t="s">
        <v>130</v>
      </c>
      <c r="F31" s="2" t="s">
        <v>39</v>
      </c>
      <c r="G31" s="2" t="s">
        <v>21</v>
      </c>
      <c r="H31" s="2" t="s">
        <v>42</v>
      </c>
      <c r="I31" s="2" t="s">
        <v>43</v>
      </c>
      <c r="J31" s="2" t="s">
        <v>45</v>
      </c>
      <c r="K31" s="2" t="s">
        <v>46</v>
      </c>
      <c r="L31" s="2" t="s">
        <v>47</v>
      </c>
      <c r="M31" s="8" t="s">
        <v>344</v>
      </c>
      <c r="O31" s="5" t="str">
        <f t="shared" si="1"/>
        <v>Amar Ujala-Fatehpur
Link: https://www.amarujala.com/uttar-pradesh/fatehpur
RSS Link: https://www.amarujala.com/rss/fatehpur.xml</v>
      </c>
    </row>
    <row r="32">
      <c r="A32" s="2" t="s">
        <v>2</v>
      </c>
      <c r="B32" s="2" t="s">
        <v>346</v>
      </c>
      <c r="C32" s="19" t="s">
        <v>347</v>
      </c>
      <c r="D32" s="2" t="s">
        <v>31</v>
      </c>
      <c r="E32" s="6" t="s">
        <v>322</v>
      </c>
      <c r="F32" s="2" t="s">
        <v>39</v>
      </c>
      <c r="G32" s="2" t="s">
        <v>21</v>
      </c>
      <c r="H32" s="2" t="s">
        <v>42</v>
      </c>
      <c r="I32" s="2" t="s">
        <v>43</v>
      </c>
      <c r="J32" s="2" t="s">
        <v>45</v>
      </c>
      <c r="K32" s="2" t="s">
        <v>46</v>
      </c>
      <c r="L32" s="2" t="s">
        <v>47</v>
      </c>
      <c r="M32" s="8" t="s">
        <v>350</v>
      </c>
      <c r="O32" s="5" t="str">
        <f t="shared" si="1"/>
        <v>Amar Ujala-Farrukhabad
Link: https://www.amarujala.com/uttar-pradesh/farrukhabad
RSS Link: https://www.amarujala.com/rss/farrukhabad.xml</v>
      </c>
    </row>
    <row r="33">
      <c r="A33" s="2" t="s">
        <v>2</v>
      </c>
      <c r="B33" s="2" t="s">
        <v>354</v>
      </c>
      <c r="C33" s="19" t="s">
        <v>355</v>
      </c>
      <c r="D33" s="2" t="s">
        <v>31</v>
      </c>
      <c r="E33" s="6" t="s">
        <v>56</v>
      </c>
      <c r="F33" s="2" t="s">
        <v>39</v>
      </c>
      <c r="G33" s="2" t="s">
        <v>21</v>
      </c>
      <c r="H33" s="2" t="s">
        <v>42</v>
      </c>
      <c r="I33" s="2" t="s">
        <v>43</v>
      </c>
      <c r="J33" s="2" t="s">
        <v>45</v>
      </c>
      <c r="K33" s="2" t="s">
        <v>46</v>
      </c>
      <c r="L33" s="2" t="s">
        <v>47</v>
      </c>
      <c r="M33" s="8" t="s">
        <v>360</v>
      </c>
      <c r="O33" s="5" t="str">
        <f t="shared" si="1"/>
        <v>Amar Ujala-Firozabad
Link: https://www.amarujala.com/uttar-pradesh/firozabad
RSS Link: https://www.amarujala.com/rss/firozabad.xml</v>
      </c>
    </row>
    <row r="34">
      <c r="A34" s="2" t="s">
        <v>2</v>
      </c>
      <c r="B34" s="2" t="s">
        <v>361</v>
      </c>
      <c r="C34" s="19" t="s">
        <v>363</v>
      </c>
      <c r="D34" s="2" t="s">
        <v>31</v>
      </c>
      <c r="E34" s="6" t="s">
        <v>170</v>
      </c>
      <c r="F34" s="2" t="s">
        <v>39</v>
      </c>
      <c r="G34" s="2" t="s">
        <v>21</v>
      </c>
      <c r="H34" s="2" t="s">
        <v>42</v>
      </c>
      <c r="I34" s="2" t="s">
        <v>43</v>
      </c>
      <c r="J34" s="2" t="s">
        <v>45</v>
      </c>
      <c r="K34" s="2" t="s">
        <v>46</v>
      </c>
      <c r="L34" s="2" t="s">
        <v>47</v>
      </c>
      <c r="M34" s="8" t="s">
        <v>366</v>
      </c>
      <c r="O34" s="5" t="str">
        <f t="shared" si="1"/>
        <v>Amar Ujala-Budaun
Link: https://www.amarujala.com/uttar-pradesh/budaun
RSS Link: https://www.amarujala.com/rss/budaun.xml</v>
      </c>
    </row>
    <row r="35">
      <c r="A35" s="2" t="s">
        <v>2</v>
      </c>
      <c r="B35" s="2" t="s">
        <v>370</v>
      </c>
      <c r="C35" s="19" t="s">
        <v>371</v>
      </c>
      <c r="D35" s="2" t="s">
        <v>31</v>
      </c>
      <c r="E35" s="6" t="s">
        <v>164</v>
      </c>
      <c r="F35" s="2" t="s">
        <v>39</v>
      </c>
      <c r="G35" s="2" t="s">
        <v>21</v>
      </c>
      <c r="H35" s="2" t="s">
        <v>42</v>
      </c>
      <c r="I35" s="2" t="s">
        <v>43</v>
      </c>
      <c r="J35" s="2" t="s">
        <v>45</v>
      </c>
      <c r="K35" s="2" t="s">
        <v>46</v>
      </c>
      <c r="L35" s="2" t="s">
        <v>47</v>
      </c>
      <c r="M35" s="8" t="s">
        <v>375</v>
      </c>
      <c r="O35" s="5" t="str">
        <f t="shared" si="1"/>
        <v>Amar Ujala-Bareilly
Link: https://www.amarujala.com/uttar-pradesh/bareilly
RSS Link: https://www.amarujala.com/rss/bareilly.xml</v>
      </c>
    </row>
    <row r="36">
      <c r="A36" s="2" t="s">
        <v>2</v>
      </c>
      <c r="B36" s="2" t="s">
        <v>377</v>
      </c>
      <c r="C36" s="19" t="s">
        <v>378</v>
      </c>
      <c r="D36" s="2" t="s">
        <v>31</v>
      </c>
      <c r="E36" s="6" t="s">
        <v>240</v>
      </c>
      <c r="F36" s="2" t="s">
        <v>39</v>
      </c>
      <c r="G36" s="2" t="s">
        <v>21</v>
      </c>
      <c r="H36" s="2" t="s">
        <v>42</v>
      </c>
      <c r="I36" s="2" t="s">
        <v>43</v>
      </c>
      <c r="J36" s="2" t="s">
        <v>45</v>
      </c>
      <c r="K36" s="2" t="s">
        <v>46</v>
      </c>
      <c r="L36" s="2" t="s">
        <v>47</v>
      </c>
      <c r="M36" s="8" t="s">
        <v>382</v>
      </c>
      <c r="O36" s="5" t="str">
        <f t="shared" si="1"/>
        <v>Amar Ujala-Balrampur
Link: https://www.amarujala.com/uttar-pradesh/balrampur
RSS Link: https://www.amarujala.com/rss/balrampur.xml</v>
      </c>
    </row>
    <row r="37">
      <c r="A37" s="2" t="s">
        <v>2</v>
      </c>
      <c r="B37" s="2" t="s">
        <v>386</v>
      </c>
      <c r="C37" s="19" t="s">
        <v>387</v>
      </c>
      <c r="D37" s="2" t="s">
        <v>31</v>
      </c>
      <c r="E37" s="6" t="s">
        <v>148</v>
      </c>
      <c r="F37" s="2" t="s">
        <v>39</v>
      </c>
      <c r="G37" s="2" t="s">
        <v>21</v>
      </c>
      <c r="H37" s="2" t="s">
        <v>42</v>
      </c>
      <c r="I37" s="2" t="s">
        <v>43</v>
      </c>
      <c r="J37" s="2" t="s">
        <v>45</v>
      </c>
      <c r="K37" s="2" t="s">
        <v>46</v>
      </c>
      <c r="L37" s="2" t="s">
        <v>47</v>
      </c>
      <c r="M37" s="8" t="s">
        <v>389</v>
      </c>
      <c r="O37" s="5" t="str">
        <f t="shared" si="1"/>
        <v>Amar Ujala-Ballia
Link: https://www.amarujala.com/uttar-pradesh/ballia
RSS Link: https://www.amarujala.com/rss/ballia.xml</v>
      </c>
    </row>
    <row r="38">
      <c r="A38" s="2" t="s">
        <v>2</v>
      </c>
      <c r="B38" s="2" t="s">
        <v>393</v>
      </c>
      <c r="C38" s="19" t="s">
        <v>394</v>
      </c>
      <c r="D38" s="2" t="s">
        <v>31</v>
      </c>
      <c r="E38" s="6" t="s">
        <v>193</v>
      </c>
      <c r="F38" s="2" t="s">
        <v>39</v>
      </c>
      <c r="G38" s="2" t="s">
        <v>21</v>
      </c>
      <c r="H38" s="2" t="s">
        <v>42</v>
      </c>
      <c r="I38" s="2" t="s">
        <v>43</v>
      </c>
      <c r="J38" s="2" t="s">
        <v>45</v>
      </c>
      <c r="K38" s="2" t="s">
        <v>46</v>
      </c>
      <c r="L38" s="2" t="s">
        <v>47</v>
      </c>
      <c r="M38" s="8" t="s">
        <v>397</v>
      </c>
      <c r="O38" s="5" t="str">
        <f t="shared" si="1"/>
        <v>Amar Ujala-Basti
Link: https://www.amarujala.com/uttar-pradesh/basti
RSS Link: https://www.amarujala.com/rss/basti.xml</v>
      </c>
    </row>
    <row r="39">
      <c r="A39" s="2" t="s">
        <v>2</v>
      </c>
      <c r="B39" s="2" t="s">
        <v>399</v>
      </c>
      <c r="C39" s="19" t="s">
        <v>400</v>
      </c>
      <c r="D39" s="2" t="s">
        <v>31</v>
      </c>
      <c r="E39" s="6" t="s">
        <v>233</v>
      </c>
      <c r="F39" s="2" t="s">
        <v>39</v>
      </c>
      <c r="G39" s="2" t="s">
        <v>21</v>
      </c>
      <c r="H39" s="2" t="s">
        <v>42</v>
      </c>
      <c r="I39" s="2" t="s">
        <v>43</v>
      </c>
      <c r="J39" s="2" t="s">
        <v>45</v>
      </c>
      <c r="K39" s="2" t="s">
        <v>46</v>
      </c>
      <c r="L39" s="2" t="s">
        <v>47</v>
      </c>
      <c r="M39" s="8" t="s">
        <v>404</v>
      </c>
      <c r="O39" s="5" t="str">
        <f t="shared" si="1"/>
        <v>Amar Ujala-Bahraich
Link: https://www.amarujala.com/uttar-pradesh/bahraich
RSS Link: https://www.amarujala.com/rss/bahraich.xml</v>
      </c>
    </row>
    <row r="40">
      <c r="A40" s="2" t="s">
        <v>2</v>
      </c>
      <c r="B40" s="2" t="s">
        <v>409</v>
      </c>
      <c r="C40" s="19" t="s">
        <v>410</v>
      </c>
      <c r="D40" s="2" t="s">
        <v>31</v>
      </c>
      <c r="E40" s="6" t="s">
        <v>211</v>
      </c>
      <c r="F40" s="2" t="s">
        <v>39</v>
      </c>
      <c r="G40" s="2" t="s">
        <v>21</v>
      </c>
      <c r="H40" s="2" t="s">
        <v>42</v>
      </c>
      <c r="I40" s="2" t="s">
        <v>43</v>
      </c>
      <c r="J40" s="2" t="s">
        <v>45</v>
      </c>
      <c r="K40" s="2" t="s">
        <v>46</v>
      </c>
      <c r="L40" s="2" t="s">
        <v>47</v>
      </c>
      <c r="M40" s="8" t="s">
        <v>414</v>
      </c>
      <c r="O40" s="5" t="str">
        <f t="shared" si="1"/>
        <v>Amar Ujala-Banda
Link: https://www.amarujala.com/uttar-pradesh/banda
RSS Link: https://www.amarujala.com/rss/banda.xml</v>
      </c>
    </row>
    <row r="41">
      <c r="A41" s="2" t="s">
        <v>2</v>
      </c>
      <c r="B41" s="2" t="s">
        <v>418</v>
      </c>
      <c r="C41" s="19" t="s">
        <v>419</v>
      </c>
      <c r="D41" s="2" t="s">
        <v>31</v>
      </c>
      <c r="E41" s="2" t="s">
        <v>421</v>
      </c>
      <c r="F41" s="2" t="s">
        <v>39</v>
      </c>
      <c r="G41" s="2" t="s">
        <v>21</v>
      </c>
      <c r="H41" s="2" t="s">
        <v>42</v>
      </c>
      <c r="I41" s="2" t="s">
        <v>43</v>
      </c>
      <c r="J41" s="2" t="s">
        <v>45</v>
      </c>
      <c r="K41" s="2" t="s">
        <v>46</v>
      </c>
      <c r="L41" s="2" t="s">
        <v>47</v>
      </c>
      <c r="M41" s="8" t="s">
        <v>425</v>
      </c>
      <c r="O41" s="5" t="str">
        <f t="shared" si="1"/>
        <v>Amar Ujala-Baghpat
Link: https://www.amarujala.com/uttar-pradesh/baghpat
RSS Link: https://www.amarujala.com/rss/baghpat.xml</v>
      </c>
    </row>
    <row r="42">
      <c r="A42" s="2" t="s">
        <v>2</v>
      </c>
      <c r="B42" s="2" t="s">
        <v>432</v>
      </c>
      <c r="C42" s="19" t="s">
        <v>433</v>
      </c>
      <c r="D42" s="2" t="s">
        <v>31</v>
      </c>
      <c r="E42" s="6" t="s">
        <v>270</v>
      </c>
      <c r="F42" s="2" t="s">
        <v>39</v>
      </c>
      <c r="G42" s="2" t="s">
        <v>21</v>
      </c>
      <c r="H42" s="2" t="s">
        <v>42</v>
      </c>
      <c r="I42" s="2" t="s">
        <v>43</v>
      </c>
      <c r="J42" s="2" t="s">
        <v>45</v>
      </c>
      <c r="K42" s="2" t="s">
        <v>46</v>
      </c>
      <c r="L42" s="2" t="s">
        <v>47</v>
      </c>
      <c r="M42" s="8" t="s">
        <v>437</v>
      </c>
      <c r="O42" s="5" t="str">
        <f t="shared" si="1"/>
        <v>Amar Ujala-Barabanki
Link: https://www.amarujala.com/uttar-pradesh/barabanki
RSS Link: https://www.amarujala.com/rss/barabanki.xml</v>
      </c>
    </row>
    <row r="43">
      <c r="A43" s="2" t="s">
        <v>2</v>
      </c>
      <c r="B43" s="2" t="s">
        <v>439</v>
      </c>
      <c r="C43" s="8" t="s">
        <v>440</v>
      </c>
      <c r="D43" s="2" t="s">
        <v>31</v>
      </c>
      <c r="E43" s="2" t="s">
        <v>429</v>
      </c>
      <c r="F43" s="2" t="s">
        <v>39</v>
      </c>
      <c r="G43" s="2" t="s">
        <v>21</v>
      </c>
      <c r="H43" s="2" t="s">
        <v>42</v>
      </c>
      <c r="I43" s="2" t="s">
        <v>43</v>
      </c>
      <c r="J43" s="2" t="s">
        <v>45</v>
      </c>
      <c r="K43" s="2" t="s">
        <v>46</v>
      </c>
      <c r="L43" s="2" t="s">
        <v>47</v>
      </c>
      <c r="M43" s="8" t="s">
        <v>444</v>
      </c>
      <c r="O43" s="5" t="str">
        <f t="shared" si="1"/>
        <v>Amar Ujala-Bijnor
Link: https://www.amarujala.com/uttar-pradesh/bijnor
RSS Link: https://www.amarujala.com/rss/bijnor.xml</v>
      </c>
    </row>
    <row r="44">
      <c r="A44" s="2" t="s">
        <v>2</v>
      </c>
      <c r="B44" s="2" t="s">
        <v>448</v>
      </c>
      <c r="C44" s="19" t="s">
        <v>449</v>
      </c>
      <c r="D44" s="2" t="s">
        <v>31</v>
      </c>
      <c r="E44" s="2" t="s">
        <v>372</v>
      </c>
      <c r="F44" s="2" t="s">
        <v>39</v>
      </c>
      <c r="G44" s="2" t="s">
        <v>21</v>
      </c>
      <c r="H44" s="2" t="s">
        <v>42</v>
      </c>
      <c r="I44" s="2" t="s">
        <v>43</v>
      </c>
      <c r="J44" s="2" t="s">
        <v>45</v>
      </c>
      <c r="K44" s="2" t="s">
        <v>46</v>
      </c>
      <c r="L44" s="2" t="s">
        <v>47</v>
      </c>
      <c r="M44" s="8" t="s">
        <v>452</v>
      </c>
      <c r="O44" s="5" t="str">
        <f t="shared" si="1"/>
        <v>Amar Ujala-Bulandshahr
Link: https://www.amarujala.com/uttar-pradesh/bulandshahr
RSS Link: https://www.amarujala.com/rss/bulandshahr.xml</v>
      </c>
    </row>
    <row r="45">
      <c r="A45" s="2" t="s">
        <v>2</v>
      </c>
      <c r="B45" s="2" t="s">
        <v>455</v>
      </c>
      <c r="C45" s="19" t="s">
        <v>456</v>
      </c>
      <c r="D45" s="2" t="s">
        <v>31</v>
      </c>
      <c r="E45" s="6" t="s">
        <v>411</v>
      </c>
      <c r="F45" s="2" t="s">
        <v>39</v>
      </c>
      <c r="G45" s="2" t="s">
        <v>21</v>
      </c>
      <c r="H45" s="2" t="s">
        <v>42</v>
      </c>
      <c r="I45" s="2" t="s">
        <v>43</v>
      </c>
      <c r="J45" s="2" t="s">
        <v>45</v>
      </c>
      <c r="K45" s="2" t="s">
        <v>46</v>
      </c>
      <c r="L45" s="2" t="s">
        <v>47</v>
      </c>
      <c r="M45" s="8" t="s">
        <v>460</v>
      </c>
      <c r="O45" s="5" t="str">
        <f t="shared" si="1"/>
        <v>Amar Ujala-Bhadohi
Link: https://www.amarujala.com/uttar-pradesh/bhadohi
RSS Link: https://www.amarujala.com/rss/bhadohi.xml</v>
      </c>
    </row>
    <row r="46">
      <c r="A46" s="2" t="s">
        <v>2</v>
      </c>
      <c r="B46" s="2" t="s">
        <v>462</v>
      </c>
      <c r="C46" s="19" t="s">
        <v>463</v>
      </c>
      <c r="D46" s="2" t="s">
        <v>31</v>
      </c>
      <c r="E46" s="6" t="s">
        <v>155</v>
      </c>
      <c r="F46" s="2" t="s">
        <v>39</v>
      </c>
      <c r="G46" s="2" t="s">
        <v>21</v>
      </c>
      <c r="H46" s="2" t="s">
        <v>42</v>
      </c>
      <c r="I46" s="2" t="s">
        <v>43</v>
      </c>
      <c r="J46" s="2" t="s">
        <v>45</v>
      </c>
      <c r="K46" s="2" t="s">
        <v>46</v>
      </c>
      <c r="L46" s="2" t="s">
        <v>47</v>
      </c>
      <c r="M46" s="8" t="s">
        <v>467</v>
      </c>
      <c r="O46" s="5" t="str">
        <f t="shared" si="1"/>
        <v>Amar Ujala-Mau
Link: https://www.amarujala.com/uttar-pradesh/mau
RSS Link: https://www.amarujala.com/rss/mau.xml</v>
      </c>
    </row>
    <row r="47">
      <c r="A47" s="2" t="s">
        <v>2</v>
      </c>
      <c r="B47" s="2" t="s">
        <v>470</v>
      </c>
      <c r="C47" s="19" t="s">
        <v>471</v>
      </c>
      <c r="D47" s="2" t="s">
        <v>31</v>
      </c>
      <c r="E47" s="6" t="s">
        <v>69</v>
      </c>
      <c r="F47" s="2" t="s">
        <v>39</v>
      </c>
      <c r="G47" s="2" t="s">
        <v>21</v>
      </c>
      <c r="H47" s="2" t="s">
        <v>42</v>
      </c>
      <c r="I47" s="2" t="s">
        <v>43</v>
      </c>
      <c r="J47" s="2" t="s">
        <v>45</v>
      </c>
      <c r="K47" s="2" t="s">
        <v>46</v>
      </c>
      <c r="L47" s="2" t="s">
        <v>47</v>
      </c>
      <c r="M47" s="8" t="s">
        <v>473</v>
      </c>
      <c r="O47" s="5" t="str">
        <f t="shared" si="1"/>
        <v>Amar Ujala-Mathura
Link: https://www.amarujala.com/uttar-pradesh/mathura
RSS Link: https://www.amarujala.com/rss/mathura.xml</v>
      </c>
    </row>
    <row r="48">
      <c r="A48" s="2" t="s">
        <v>2</v>
      </c>
      <c r="B48" s="2" t="s">
        <v>476</v>
      </c>
      <c r="C48" s="19" t="s">
        <v>477</v>
      </c>
      <c r="D48" s="2" t="s">
        <v>31</v>
      </c>
      <c r="E48" s="6" t="s">
        <v>480</v>
      </c>
      <c r="F48" s="2" t="s">
        <v>39</v>
      </c>
      <c r="G48" s="2" t="s">
        <v>21</v>
      </c>
      <c r="H48" s="2" t="s">
        <v>42</v>
      </c>
      <c r="I48" s="2" t="s">
        <v>43</v>
      </c>
      <c r="J48" s="2" t="s">
        <v>45</v>
      </c>
      <c r="K48" s="2" t="s">
        <v>46</v>
      </c>
      <c r="L48" s="2" t="s">
        <v>47</v>
      </c>
      <c r="M48" s="8" t="s">
        <v>482</v>
      </c>
      <c r="O48" s="5" t="str">
        <f t="shared" si="1"/>
        <v>Amar Ujala-Maharajganj
Link: https://www.amarujala.com/uttar-pradesh/maharajganj
RSS Link: https://www.amarujala.com/rss/maharajganj.xml</v>
      </c>
    </row>
    <row r="49">
      <c r="A49" s="2" t="s">
        <v>2</v>
      </c>
      <c r="B49" s="2" t="s">
        <v>484</v>
      </c>
      <c r="C49" s="19" t="s">
        <v>485</v>
      </c>
      <c r="D49" s="2" t="s">
        <v>31</v>
      </c>
      <c r="E49" s="6" t="s">
        <v>228</v>
      </c>
      <c r="F49" s="2" t="s">
        <v>39</v>
      </c>
      <c r="G49" s="2" t="s">
        <v>21</v>
      </c>
      <c r="H49" s="2" t="s">
        <v>42</v>
      </c>
      <c r="I49" s="2" t="s">
        <v>43</v>
      </c>
      <c r="J49" s="2" t="s">
        <v>45</v>
      </c>
      <c r="K49" s="2" t="s">
        <v>46</v>
      </c>
      <c r="L49" s="2" t="s">
        <v>47</v>
      </c>
      <c r="M49" s="8" t="s">
        <v>487</v>
      </c>
      <c r="O49" s="5" t="str">
        <f t="shared" si="1"/>
        <v>Amar Ujala-Mahoba
Link: https://www.amarujala.com/uttar-pradesh/mahoba
RSS Link: https://www.amarujala.com/rss/mahoba.xml</v>
      </c>
    </row>
    <row r="50">
      <c r="A50" s="2" t="s">
        <v>2</v>
      </c>
      <c r="B50" s="2" t="s">
        <v>489</v>
      </c>
      <c r="C50" s="19" t="s">
        <v>490</v>
      </c>
      <c r="D50" s="2" t="s">
        <v>31</v>
      </c>
      <c r="E50" s="6" t="s">
        <v>415</v>
      </c>
      <c r="F50" s="2" t="s">
        <v>39</v>
      </c>
      <c r="G50" s="2" t="s">
        <v>21</v>
      </c>
      <c r="H50" s="2" t="s">
        <v>42</v>
      </c>
      <c r="I50" s="2" t="s">
        <v>43</v>
      </c>
      <c r="J50" s="2" t="s">
        <v>45</v>
      </c>
      <c r="K50" s="2" t="s">
        <v>46</v>
      </c>
      <c r="L50" s="2" t="s">
        <v>47</v>
      </c>
      <c r="M50" s="8" t="s">
        <v>492</v>
      </c>
      <c r="O50" s="5" t="str">
        <f t="shared" si="1"/>
        <v>Amar Ujala-Mirzapur
Link: https://www.amarujala.com/uttar-pradesh/mirzapur
RSS Link: https://www.amarujala.com/rss/mirzapur.xml</v>
      </c>
    </row>
    <row r="51">
      <c r="A51" s="2" t="s">
        <v>2</v>
      </c>
      <c r="B51" s="2" t="s">
        <v>494</v>
      </c>
      <c r="C51" s="19" t="s">
        <v>495</v>
      </c>
      <c r="D51" s="2" t="s">
        <v>31</v>
      </c>
      <c r="E51" s="2" t="s">
        <v>451</v>
      </c>
      <c r="F51" s="2" t="s">
        <v>39</v>
      </c>
      <c r="G51" s="2" t="s">
        <v>21</v>
      </c>
      <c r="H51" s="2" t="s">
        <v>42</v>
      </c>
      <c r="I51" s="2" t="s">
        <v>43</v>
      </c>
      <c r="J51" s="2" t="s">
        <v>45</v>
      </c>
      <c r="K51" s="2" t="s">
        <v>46</v>
      </c>
      <c r="L51" s="2" t="s">
        <v>47</v>
      </c>
      <c r="M51" s="8" t="s">
        <v>497</v>
      </c>
      <c r="O51" s="5" t="str">
        <f t="shared" si="1"/>
        <v>Amar Ujala-Muzaffarnagar
Link: https://www.amarujala.com/uttar-pradesh/muzaffarnagar
RSS Link: https://www.amarujala.com/rss/muzaffarnagar.xml</v>
      </c>
    </row>
    <row r="52">
      <c r="A52" s="2" t="s">
        <v>2</v>
      </c>
      <c r="B52" s="2" t="s">
        <v>499</v>
      </c>
      <c r="C52" s="19" t="s">
        <v>500</v>
      </c>
      <c r="D52" s="2" t="s">
        <v>31</v>
      </c>
      <c r="E52" s="6" t="s">
        <v>434</v>
      </c>
      <c r="F52" s="2" t="s">
        <v>39</v>
      </c>
      <c r="G52" s="2" t="s">
        <v>21</v>
      </c>
      <c r="H52" s="2" t="s">
        <v>42</v>
      </c>
      <c r="I52" s="2" t="s">
        <v>43</v>
      </c>
      <c r="J52" s="2" t="s">
        <v>45</v>
      </c>
      <c r="K52" s="2" t="s">
        <v>46</v>
      </c>
      <c r="L52" s="2" t="s">
        <v>47</v>
      </c>
      <c r="M52" s="8" t="s">
        <v>502</v>
      </c>
      <c r="O52" s="5" t="str">
        <f t="shared" si="1"/>
        <v>Amar Ujala-Moradabad
Link: https://www.amarujala.com/uttar-pradesh/moradabad
RSS Link: https://www.amarujala.com/rss/moradabad.xml</v>
      </c>
    </row>
    <row r="53">
      <c r="A53" s="2" t="s">
        <v>2</v>
      </c>
      <c r="B53" s="2" t="s">
        <v>504</v>
      </c>
      <c r="C53" s="19" t="s">
        <v>505</v>
      </c>
      <c r="D53" s="2" t="s">
        <v>31</v>
      </c>
      <c r="E53" s="2" t="s">
        <v>405</v>
      </c>
      <c r="F53" s="2" t="s">
        <v>39</v>
      </c>
      <c r="G53" s="2" t="s">
        <v>21</v>
      </c>
      <c r="H53" s="2" t="s">
        <v>42</v>
      </c>
      <c r="I53" s="2" t="s">
        <v>43</v>
      </c>
      <c r="J53" s="2" t="s">
        <v>45</v>
      </c>
      <c r="K53" s="2" t="s">
        <v>46</v>
      </c>
      <c r="L53" s="2" t="s">
        <v>47</v>
      </c>
      <c r="M53" s="8" t="s">
        <v>507</v>
      </c>
      <c r="O53" s="5" t="str">
        <f t="shared" si="1"/>
        <v>Amar Ujala-Meerut
Link: https://www.amarujala.com/uttar-pradesh/meerut
RSS Link: https://www.amarujala.com/rss/meerut.xml</v>
      </c>
    </row>
    <row r="54">
      <c r="A54" s="2" t="s">
        <v>2</v>
      </c>
      <c r="B54" s="2" t="s">
        <v>509</v>
      </c>
      <c r="C54" s="19" t="s">
        <v>510</v>
      </c>
      <c r="D54" s="2" t="s">
        <v>31</v>
      </c>
      <c r="E54" s="6" t="s">
        <v>63</v>
      </c>
      <c r="F54" s="2" t="s">
        <v>39</v>
      </c>
      <c r="G54" s="2" t="s">
        <v>21</v>
      </c>
      <c r="H54" s="2" t="s">
        <v>42</v>
      </c>
      <c r="I54" s="2" t="s">
        <v>43</v>
      </c>
      <c r="J54" s="2" t="s">
        <v>45</v>
      </c>
      <c r="K54" s="2" t="s">
        <v>46</v>
      </c>
      <c r="L54" s="2" t="s">
        <v>47</v>
      </c>
      <c r="M54" s="8" t="s">
        <v>512</v>
      </c>
      <c r="O54" s="5" t="str">
        <f t="shared" si="1"/>
        <v>Amar Ujala-Mainpuri
Link: https://www.amarujala.com/uttar-pradesh/mainpuri
RSS Link: https://www.amarujala.com/rss/mainpuri.xml</v>
      </c>
    </row>
    <row r="55">
      <c r="A55" s="2" t="s">
        <v>2</v>
      </c>
      <c r="B55" s="2" t="s">
        <v>513</v>
      </c>
      <c r="C55" s="19" t="s">
        <v>514</v>
      </c>
      <c r="D55" s="2" t="s">
        <v>31</v>
      </c>
      <c r="E55" s="2" t="s">
        <v>441</v>
      </c>
      <c r="F55" s="2" t="s">
        <v>39</v>
      </c>
      <c r="G55" s="2" t="s">
        <v>21</v>
      </c>
      <c r="H55" s="2" t="s">
        <v>42</v>
      </c>
      <c r="I55" s="2" t="s">
        <v>43</v>
      </c>
      <c r="J55" s="2" t="s">
        <v>45</v>
      </c>
      <c r="K55" s="2" t="s">
        <v>46</v>
      </c>
      <c r="L55" s="2" t="s">
        <v>47</v>
      </c>
      <c r="M55" s="8" t="s">
        <v>517</v>
      </c>
      <c r="O55" s="5" t="str">
        <f t="shared" si="1"/>
        <v>Amar Ujala-Rampur
Link: https://www.amarujala.com/uttar-pradesh/rampur
RSS Link: https://www.amarujala.com/rss/rampur.xml</v>
      </c>
    </row>
    <row r="56">
      <c r="A56" s="2" t="s">
        <v>2</v>
      </c>
      <c r="B56" s="2" t="s">
        <v>518</v>
      </c>
      <c r="C56" s="19" t="s">
        <v>519</v>
      </c>
      <c r="D56" s="2" t="s">
        <v>31</v>
      </c>
      <c r="E56" s="6" t="s">
        <v>351</v>
      </c>
      <c r="F56" s="2" t="s">
        <v>39</v>
      </c>
      <c r="G56" s="2" t="s">
        <v>21</v>
      </c>
      <c r="H56" s="2" t="s">
        <v>42</v>
      </c>
      <c r="I56" s="2" t="s">
        <v>43</v>
      </c>
      <c r="J56" s="2" t="s">
        <v>45</v>
      </c>
      <c r="K56" s="2" t="s">
        <v>46</v>
      </c>
      <c r="L56" s="2" t="s">
        <v>47</v>
      </c>
      <c r="M56" s="8" t="s">
        <v>521</v>
      </c>
      <c r="O56" s="5" t="str">
        <f t="shared" si="1"/>
        <v>Amar Ujala-Raebareli
Link: https://www.amarujala.com/uttar-pradesh/raebareli
RSS Link: https://www.amarujala.com/rss/raebareli.xml</v>
      </c>
    </row>
    <row r="57">
      <c r="A57" s="2" t="s">
        <v>2</v>
      </c>
      <c r="B57" s="2" t="s">
        <v>523</v>
      </c>
      <c r="C57" s="19" t="s">
        <v>524</v>
      </c>
      <c r="D57" s="2" t="s">
        <v>31</v>
      </c>
      <c r="E57" s="6" t="s">
        <v>341</v>
      </c>
      <c r="F57" s="2" t="s">
        <v>39</v>
      </c>
      <c r="G57" s="2" t="s">
        <v>21</v>
      </c>
      <c r="H57" s="2" t="s">
        <v>42</v>
      </c>
      <c r="I57" s="2" t="s">
        <v>43</v>
      </c>
      <c r="J57" s="2" t="s">
        <v>45</v>
      </c>
      <c r="K57" s="2" t="s">
        <v>46</v>
      </c>
      <c r="L57" s="2" t="s">
        <v>47</v>
      </c>
      <c r="M57" s="8" t="s">
        <v>527</v>
      </c>
      <c r="O57" s="5" t="str">
        <f t="shared" si="1"/>
        <v>Amar Ujala-Lakhimpur Kheri
Link: https://www.amarujala.com/uttar-pradesh/lakhimpur-kheri
RSS Link: https://www.amarujala.com/rss/lakhimpur-kheri.xml</v>
      </c>
    </row>
    <row r="58">
      <c r="A58" s="2" t="s">
        <v>2</v>
      </c>
      <c r="B58" s="2" t="s">
        <v>529</v>
      </c>
      <c r="C58" s="19" t="s">
        <v>530</v>
      </c>
      <c r="D58" s="2" t="s">
        <v>31</v>
      </c>
      <c r="E58" s="6" t="s">
        <v>311</v>
      </c>
      <c r="F58" s="2" t="s">
        <v>39</v>
      </c>
      <c r="G58" s="2" t="s">
        <v>21</v>
      </c>
      <c r="H58" s="2" t="s">
        <v>42</v>
      </c>
      <c r="I58" s="2" t="s">
        <v>43</v>
      </c>
      <c r="J58" s="2" t="s">
        <v>45</v>
      </c>
      <c r="K58" s="2" t="s">
        <v>46</v>
      </c>
      <c r="L58" s="2" t="s">
        <v>47</v>
      </c>
      <c r="M58" s="8" t="s">
        <v>533</v>
      </c>
      <c r="O58" s="5" t="str">
        <f t="shared" si="1"/>
        <v>Amar Ujala-Lalitpur
Link: https://www.amarujala.com/uttar-pradesh/lalitpur
RSS Link: https://www.amarujala.com/rss/lalitpur.xml</v>
      </c>
    </row>
    <row r="59">
      <c r="A59" s="2" t="s">
        <v>2</v>
      </c>
      <c r="B59" s="2" t="s">
        <v>534</v>
      </c>
      <c r="C59" s="19" t="s">
        <v>535</v>
      </c>
      <c r="D59" s="2" t="s">
        <v>31</v>
      </c>
      <c r="E59" s="6" t="s">
        <v>478</v>
      </c>
      <c r="F59" s="2" t="s">
        <v>39</v>
      </c>
      <c r="G59" s="2" t="s">
        <v>21</v>
      </c>
      <c r="H59" s="2" t="s">
        <v>42</v>
      </c>
      <c r="I59" s="2" t="s">
        <v>43</v>
      </c>
      <c r="J59" s="2" t="s">
        <v>45</v>
      </c>
      <c r="K59" s="2" t="s">
        <v>46</v>
      </c>
      <c r="L59" s="2" t="s">
        <v>47</v>
      </c>
      <c r="M59" s="8" t="s">
        <v>537</v>
      </c>
      <c r="O59" s="5" t="str">
        <f t="shared" si="1"/>
        <v>Amar Ujala-Varanasi
Link: https://www.amarujala.com/uttar-pradesh/varanasi
RSS Link: https://www.amarujala.com/rss/varanasi.xml</v>
      </c>
    </row>
    <row r="60">
      <c r="A60" s="2" t="s">
        <v>2</v>
      </c>
      <c r="B60" s="2" t="s">
        <v>539</v>
      </c>
      <c r="C60" s="19" t="s">
        <v>540</v>
      </c>
      <c r="D60" s="2" t="s">
        <v>31</v>
      </c>
      <c r="E60" s="2" t="s">
        <v>464</v>
      </c>
      <c r="F60" s="2" t="s">
        <v>39</v>
      </c>
      <c r="G60" s="2" t="s">
        <v>21</v>
      </c>
      <c r="H60" s="2" t="s">
        <v>42</v>
      </c>
      <c r="I60" s="2" t="s">
        <v>43</v>
      </c>
      <c r="J60" s="2" t="s">
        <v>45</v>
      </c>
      <c r="K60" s="2" t="s">
        <v>46</v>
      </c>
      <c r="L60" s="2" t="s">
        <v>47</v>
      </c>
      <c r="M60" s="8" t="s">
        <v>541</v>
      </c>
      <c r="O60" s="5" t="str">
        <f t="shared" si="1"/>
        <v>Amar Ujala-Shamli
Link: https://www.amarujala.com/uttar-pradesh/shamli
RSS Link: https://www.amarujala.com/rss/shamli.xml</v>
      </c>
    </row>
    <row r="61">
      <c r="A61" s="2" t="s">
        <v>2</v>
      </c>
      <c r="B61" s="2" t="s">
        <v>543</v>
      </c>
      <c r="C61" s="19" t="s">
        <v>544</v>
      </c>
      <c r="D61" s="2" t="s">
        <v>31</v>
      </c>
      <c r="E61" s="6" t="s">
        <v>184</v>
      </c>
      <c r="F61" s="2" t="s">
        <v>39</v>
      </c>
      <c r="G61" s="2" t="s">
        <v>21</v>
      </c>
      <c r="H61" s="2" t="s">
        <v>42</v>
      </c>
      <c r="I61" s="2" t="s">
        <v>43</v>
      </c>
      <c r="J61" s="2" t="s">
        <v>45</v>
      </c>
      <c r="K61" s="2" t="s">
        <v>46</v>
      </c>
      <c r="L61" s="2" t="s">
        <v>47</v>
      </c>
      <c r="M61" s="8" t="s">
        <v>546</v>
      </c>
      <c r="O61" s="5" t="str">
        <f t="shared" si="1"/>
        <v>Amar Ujala-Shahjahanpur
Link: https://www.amarujala.com/uttar-pradesh/shahjahanpur
RSS Link: https://www.amarujala.com/rss/shahjahanpur.xml</v>
      </c>
    </row>
    <row r="62">
      <c r="A62" s="2" t="s">
        <v>2</v>
      </c>
      <c r="B62" s="2" t="s">
        <v>548</v>
      </c>
      <c r="C62" s="19" t="s">
        <v>549</v>
      </c>
      <c r="D62" s="2" t="s">
        <v>31</v>
      </c>
      <c r="E62" s="6" t="s">
        <v>251</v>
      </c>
      <c r="F62" s="2" t="s">
        <v>39</v>
      </c>
      <c r="G62" s="2" t="s">
        <v>21</v>
      </c>
      <c r="H62" s="2" t="s">
        <v>42</v>
      </c>
      <c r="I62" s="2" t="s">
        <v>43</v>
      </c>
      <c r="J62" s="2" t="s">
        <v>45</v>
      </c>
      <c r="K62" s="2" t="s">
        <v>46</v>
      </c>
      <c r="L62" s="2" t="s">
        <v>47</v>
      </c>
      <c r="M62" s="8" t="s">
        <v>551</v>
      </c>
      <c r="O62" s="5" t="str">
        <f t="shared" si="1"/>
        <v>Amar Ujala-Shravasti
Link: https://www.amarujala.com/uttar-pradesh/shravasti
RSS Link: https://www.amarujala.com/rss/shravasti.xml</v>
      </c>
    </row>
    <row r="63">
      <c r="A63" s="2" t="s">
        <v>2</v>
      </c>
      <c r="B63" s="2" t="s">
        <v>552</v>
      </c>
      <c r="C63" s="19" t="s">
        <v>553</v>
      </c>
      <c r="D63" s="2" t="s">
        <v>31</v>
      </c>
      <c r="E63" s="6" t="s">
        <v>200</v>
      </c>
      <c r="F63" s="2" t="s">
        <v>39</v>
      </c>
      <c r="G63" s="2" t="s">
        <v>21</v>
      </c>
      <c r="H63" s="2" t="s">
        <v>42</v>
      </c>
      <c r="I63" s="2" t="s">
        <v>43</v>
      </c>
      <c r="J63" s="2" t="s">
        <v>45</v>
      </c>
      <c r="K63" s="2" t="s">
        <v>46</v>
      </c>
      <c r="L63" s="2" t="s">
        <v>47</v>
      </c>
      <c r="M63" s="8" t="s">
        <v>555</v>
      </c>
      <c r="O63" s="5" t="str">
        <f t="shared" si="1"/>
        <v>Amar Ujala-Sant Kabir Nagar
Link: https://www.amarujala.com/uttar-pradesh/sant-kabir-nagar
RSS Link: https://www.amarujala.com/rss/sant-kabir-nagar.xml</v>
      </c>
    </row>
    <row r="64">
      <c r="A64" s="2" t="s">
        <v>2</v>
      </c>
      <c r="B64" s="2" t="s">
        <v>557</v>
      </c>
      <c r="C64" s="19" t="s">
        <v>558</v>
      </c>
      <c r="D64" s="2" t="s">
        <v>31</v>
      </c>
      <c r="E64" s="6" t="s">
        <v>445</v>
      </c>
      <c r="F64" s="2" t="s">
        <v>39</v>
      </c>
      <c r="G64" s="2" t="s">
        <v>21</v>
      </c>
      <c r="H64" s="2" t="s">
        <v>42</v>
      </c>
      <c r="I64" s="2" t="s">
        <v>43</v>
      </c>
      <c r="J64" s="2" t="s">
        <v>45</v>
      </c>
      <c r="K64" s="2" t="s">
        <v>46</v>
      </c>
      <c r="L64" s="2" t="s">
        <v>47</v>
      </c>
      <c r="M64" s="8" t="s">
        <v>560</v>
      </c>
      <c r="O64" s="5" t="str">
        <f t="shared" si="1"/>
        <v>Amar Ujala-Sambhal
Link: https://www.amarujala.com/uttar-pradesh/sambhal
RSS Link: https://www.amarujala.com/rss/sambhal.xml</v>
      </c>
    </row>
    <row r="65">
      <c r="A65" s="2" t="s">
        <v>2</v>
      </c>
      <c r="B65" s="2" t="s">
        <v>561</v>
      </c>
      <c r="C65" s="19" t="s">
        <v>562</v>
      </c>
      <c r="D65" s="2" t="s">
        <v>31</v>
      </c>
      <c r="E65" s="2" t="s">
        <v>457</v>
      </c>
      <c r="F65" s="2" t="s">
        <v>39</v>
      </c>
      <c r="G65" s="2" t="s">
        <v>21</v>
      </c>
      <c r="H65" s="2" t="s">
        <v>42</v>
      </c>
      <c r="I65" s="2" t="s">
        <v>43</v>
      </c>
      <c r="J65" s="2" t="s">
        <v>45</v>
      </c>
      <c r="K65" s="2" t="s">
        <v>46</v>
      </c>
      <c r="L65" s="2" t="s">
        <v>47</v>
      </c>
      <c r="M65" s="8" t="s">
        <v>564</v>
      </c>
      <c r="O65" s="5" t="str">
        <f t="shared" si="1"/>
        <v>Amar Ujala-Saharanpur
Link: https://www.amarujala.com/uttar-pradesh/saharanpur
RSS Link: https://www.amarujala.com/rss/saharanpur.xml</v>
      </c>
    </row>
    <row r="66">
      <c r="A66" s="2" t="s">
        <v>2</v>
      </c>
      <c r="B66" s="2" t="s">
        <v>565</v>
      </c>
      <c r="C66" s="19" t="s">
        <v>566</v>
      </c>
      <c r="D66" s="2" t="s">
        <v>31</v>
      </c>
      <c r="E66" s="6" t="s">
        <v>568</v>
      </c>
      <c r="F66" s="2" t="s">
        <v>39</v>
      </c>
      <c r="G66" s="2" t="s">
        <v>21</v>
      </c>
      <c r="H66" s="2" t="s">
        <v>42</v>
      </c>
      <c r="I66" s="2" t="s">
        <v>43</v>
      </c>
      <c r="J66" s="2" t="s">
        <v>45</v>
      </c>
      <c r="K66" s="2" t="s">
        <v>46</v>
      </c>
      <c r="L66" s="2" t="s">
        <v>47</v>
      </c>
      <c r="M66" s="8" t="s">
        <v>569</v>
      </c>
      <c r="O66" s="5" t="str">
        <f t="shared" si="1"/>
        <v>Amar Ujala-Siddharthnagar
Link: https://www.amarujala.com/uttar-pradesh/siddharthnagar
RSS Link: https://www.amarujala.com/rss/siddharthnagar.xml</v>
      </c>
    </row>
    <row r="67">
      <c r="A67" s="2" t="s">
        <v>2</v>
      </c>
      <c r="B67" s="2" t="s">
        <v>571</v>
      </c>
      <c r="C67" s="19" t="s">
        <v>572</v>
      </c>
      <c r="D67" s="2" t="s">
        <v>31</v>
      </c>
      <c r="E67" s="6" t="s">
        <v>357</v>
      </c>
      <c r="F67" s="2" t="s">
        <v>39</v>
      </c>
      <c r="G67" s="2" t="s">
        <v>21</v>
      </c>
      <c r="H67" s="2" t="s">
        <v>42</v>
      </c>
      <c r="I67" s="2" t="s">
        <v>43</v>
      </c>
      <c r="J67" s="2" t="s">
        <v>45</v>
      </c>
      <c r="K67" s="2" t="s">
        <v>46</v>
      </c>
      <c r="L67" s="2" t="s">
        <v>47</v>
      </c>
      <c r="M67" s="8" t="s">
        <v>574</v>
      </c>
      <c r="O67" s="5" t="str">
        <f t="shared" si="1"/>
        <v>Amar Ujala-Sitapur
Link: https://www.amarujala.com/uttar-pradesh/sitapur
RSS Link: https://www.amarujala.com/rss/sitapur.xml</v>
      </c>
    </row>
    <row r="68">
      <c r="A68" s="2" t="s">
        <v>2</v>
      </c>
      <c r="B68" s="2" t="s">
        <v>575</v>
      </c>
      <c r="C68" s="19" t="s">
        <v>576</v>
      </c>
      <c r="D68" s="2" t="s">
        <v>31</v>
      </c>
      <c r="E68" s="6" t="s">
        <v>279</v>
      </c>
      <c r="F68" s="2" t="s">
        <v>39</v>
      </c>
      <c r="G68" s="2" t="s">
        <v>21</v>
      </c>
      <c r="H68" s="2" t="s">
        <v>42</v>
      </c>
      <c r="I68" s="2" t="s">
        <v>43</v>
      </c>
      <c r="J68" s="2" t="s">
        <v>45</v>
      </c>
      <c r="K68" s="2" t="s">
        <v>46</v>
      </c>
      <c r="L68" s="2" t="s">
        <v>47</v>
      </c>
      <c r="M68" s="8" t="s">
        <v>578</v>
      </c>
      <c r="O68" s="5" t="str">
        <f t="shared" si="1"/>
        <v>Amar Ujala-Sultanpur
Link: https://www.amarujala.com/uttar-pradesh/sultanpur
RSS Link: https://www.amarujala.com/rss/sultanpur.xml</v>
      </c>
    </row>
    <row r="69">
      <c r="A69" s="2" t="s">
        <v>2</v>
      </c>
      <c r="B69" s="2" t="s">
        <v>579</v>
      </c>
      <c r="C69" s="19" t="s">
        <v>580</v>
      </c>
      <c r="D69" s="2" t="s">
        <v>31</v>
      </c>
      <c r="E69" s="6" t="s">
        <v>582</v>
      </c>
      <c r="F69" s="2" t="s">
        <v>39</v>
      </c>
      <c r="G69" s="2" t="s">
        <v>21</v>
      </c>
      <c r="H69" s="2" t="s">
        <v>42</v>
      </c>
      <c r="I69" s="2" t="s">
        <v>43</v>
      </c>
      <c r="J69" s="2" t="s">
        <v>45</v>
      </c>
      <c r="K69" s="2" t="s">
        <v>46</v>
      </c>
      <c r="L69" s="2" t="s">
        <v>47</v>
      </c>
      <c r="M69" s="8" t="s">
        <v>583</v>
      </c>
      <c r="O69" s="5" t="str">
        <f t="shared" si="1"/>
        <v>Amar Ujala-Sonebhadra
Link: https://www.amarujala.com/uttar-pradesh/sonbhadra
RSS Link: https://www.amarujala.com/rss/sonebhadra.xml</v>
      </c>
    </row>
    <row r="70">
      <c r="A70" s="2" t="s">
        <v>2</v>
      </c>
      <c r="B70" s="2" t="s">
        <v>585</v>
      </c>
      <c r="C70" s="19" t="s">
        <v>586</v>
      </c>
      <c r="D70" s="2" t="s">
        <v>31</v>
      </c>
      <c r="E70" s="6" t="s">
        <v>222</v>
      </c>
      <c r="F70" s="2" t="s">
        <v>39</v>
      </c>
      <c r="G70" s="2" t="s">
        <v>21</v>
      </c>
      <c r="H70" s="2" t="s">
        <v>42</v>
      </c>
      <c r="I70" s="2" t="s">
        <v>43</v>
      </c>
      <c r="J70" s="2" t="s">
        <v>45</v>
      </c>
      <c r="K70" s="2" t="s">
        <v>46</v>
      </c>
      <c r="L70" s="2" t="s">
        <v>47</v>
      </c>
      <c r="M70" s="8" t="s">
        <v>588</v>
      </c>
      <c r="O70" s="5" t="str">
        <f t="shared" si="1"/>
        <v>Amar Ujala-Hamirpur
Link: https://www.amarujala.com/uttar-pradesh/hamirpur
RSS Link: https://www.amarujala.com/rss/hamirpur.xml</v>
      </c>
    </row>
    <row r="71">
      <c r="A71" s="2" t="s">
        <v>2</v>
      </c>
      <c r="B71" s="2" t="s">
        <v>590</v>
      </c>
      <c r="C71" s="19" t="s">
        <v>591</v>
      </c>
      <c r="D71" s="2" t="s">
        <v>31</v>
      </c>
      <c r="E71" s="6" t="s">
        <v>338</v>
      </c>
      <c r="F71" s="2" t="s">
        <v>39</v>
      </c>
      <c r="G71" s="2" t="s">
        <v>21</v>
      </c>
      <c r="H71" s="2" t="s">
        <v>42</v>
      </c>
      <c r="I71" s="2" t="s">
        <v>43</v>
      </c>
      <c r="J71" s="2" t="s">
        <v>45</v>
      </c>
      <c r="K71" s="2" t="s">
        <v>46</v>
      </c>
      <c r="L71" s="2" t="s">
        <v>47</v>
      </c>
      <c r="M71" s="8" t="s">
        <v>592</v>
      </c>
      <c r="O71" s="5" t="str">
        <f t="shared" si="1"/>
        <v>Amar Ujala-Hardoi
Link: https://www.amarujala.com/uttar-pradesh/hardoi
RSS Link: https://www.amarujala.com/rss/hardoi.xml</v>
      </c>
    </row>
    <row r="72">
      <c r="A72" s="2" t="s">
        <v>2</v>
      </c>
      <c r="B72" s="2" t="s">
        <v>593</v>
      </c>
      <c r="C72" s="19" t="s">
        <v>594</v>
      </c>
      <c r="D72" s="2" t="s">
        <v>31</v>
      </c>
      <c r="E72" s="6" t="s">
        <v>101</v>
      </c>
      <c r="F72" s="2" t="s">
        <v>39</v>
      </c>
      <c r="G72" s="2" t="s">
        <v>21</v>
      </c>
      <c r="H72" s="2" t="s">
        <v>42</v>
      </c>
      <c r="I72" s="2" t="s">
        <v>43</v>
      </c>
      <c r="J72" s="2" t="s">
        <v>45</v>
      </c>
      <c r="K72" s="2" t="s">
        <v>46</v>
      </c>
      <c r="L72" s="2" t="s">
        <v>47</v>
      </c>
      <c r="M72" s="8" t="s">
        <v>595</v>
      </c>
      <c r="O72" s="5" t="str">
        <f t="shared" si="1"/>
        <v>Amar Ujala-Hathras
Link: https://www.amarujala.com/uttar-pradesh/hathras
RSS Link: https://www.amarujala.com/rss/hathras.xml</v>
      </c>
    </row>
    <row r="73">
      <c r="A73" s="2" t="s">
        <v>2</v>
      </c>
      <c r="B73" s="2" t="s">
        <v>596</v>
      </c>
      <c r="C73" s="19" t="s">
        <v>597</v>
      </c>
      <c r="D73" s="2" t="s">
        <v>31</v>
      </c>
      <c r="E73" s="2" t="s">
        <v>390</v>
      </c>
      <c r="F73" s="2" t="s">
        <v>39</v>
      </c>
      <c r="G73" s="2" t="s">
        <v>21</v>
      </c>
      <c r="H73" s="2" t="s">
        <v>42</v>
      </c>
      <c r="I73" s="2" t="s">
        <v>43</v>
      </c>
      <c r="J73" s="2" t="s">
        <v>598</v>
      </c>
      <c r="K73" s="2" t="s">
        <v>46</v>
      </c>
      <c r="L73" s="2" t="s">
        <v>47</v>
      </c>
      <c r="M73" s="8" t="s">
        <v>599</v>
      </c>
      <c r="O73" s="5" t="str">
        <f t="shared" si="1"/>
        <v>Amar Ujala- Ghaziabad
Link: https://www.amarujala.com/delhi-ncr/ghaziabad
RSS Link: https://www.amarujala.com/rss/ghaziabad.xml</v>
      </c>
    </row>
    <row r="74">
      <c r="A74" s="2"/>
      <c r="B74" s="20" t="s">
        <v>600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2"/>
      <c r="O74" s="5" t="str">
        <f t="shared" si="1"/>
        <v/>
      </c>
    </row>
    <row r="75">
      <c r="A75" s="2" t="s">
        <v>2</v>
      </c>
      <c r="B75" s="2" t="s">
        <v>600</v>
      </c>
      <c r="C75" s="19" t="s">
        <v>601</v>
      </c>
      <c r="D75" s="2" t="s">
        <v>28</v>
      </c>
      <c r="E75" s="2" t="s">
        <v>0</v>
      </c>
      <c r="F75" s="2" t="s">
        <v>39</v>
      </c>
      <c r="G75" s="2" t="s">
        <v>21</v>
      </c>
      <c r="H75" s="2" t="s">
        <v>42</v>
      </c>
      <c r="I75" s="2" t="s">
        <v>43</v>
      </c>
      <c r="J75" s="2" t="s">
        <v>45</v>
      </c>
      <c r="K75" s="2" t="s">
        <v>46</v>
      </c>
      <c r="L75" s="2" t="s">
        <v>47</v>
      </c>
      <c r="M75" s="8" t="s">
        <v>602</v>
      </c>
      <c r="O75" s="5" t="str">
        <f t="shared" si="1"/>
        <v>Live Hindustan
Link: https://www.livehindustan.com/uttar-pradesh
RSS Link: https://feed.livehindustan.com/rss/5026</v>
      </c>
    </row>
    <row r="76">
      <c r="A76" s="2" t="s">
        <v>2</v>
      </c>
      <c r="B76" s="2" t="s">
        <v>603</v>
      </c>
      <c r="C76" s="19" t="s">
        <v>604</v>
      </c>
      <c r="D76" s="2" t="s">
        <v>31</v>
      </c>
      <c r="E76" s="6" t="s">
        <v>75</v>
      </c>
      <c r="F76" s="2" t="s">
        <v>39</v>
      </c>
      <c r="G76" s="2" t="s">
        <v>21</v>
      </c>
      <c r="H76" s="2" t="s">
        <v>42</v>
      </c>
      <c r="I76" s="2" t="s">
        <v>43</v>
      </c>
      <c r="J76" s="2" t="s">
        <v>45</v>
      </c>
      <c r="K76" s="2" t="s">
        <v>46</v>
      </c>
      <c r="L76" s="2" t="s">
        <v>47</v>
      </c>
      <c r="M76" s="8" t="s">
        <v>605</v>
      </c>
      <c r="O76" s="5" t="str">
        <f t="shared" si="1"/>
        <v>Hindustan-Lucknow
Link: https://www.livehindustan.com/uttar-pradesh/lucknow/news
RSS Link: https://feed.livehindustan.com/rss/5028</v>
      </c>
    </row>
    <row r="77">
      <c r="A77" s="2" t="s">
        <v>2</v>
      </c>
      <c r="B77" s="2" t="s">
        <v>606</v>
      </c>
      <c r="C77" s="19" t="s">
        <v>607</v>
      </c>
      <c r="D77" s="2" t="s">
        <v>31</v>
      </c>
      <c r="E77" s="6" t="s">
        <v>478</v>
      </c>
      <c r="F77" s="2" t="s">
        <v>39</v>
      </c>
      <c r="G77" s="2" t="s">
        <v>21</v>
      </c>
      <c r="H77" s="2" t="s">
        <v>42</v>
      </c>
      <c r="I77" s="2" t="s">
        <v>43</v>
      </c>
      <c r="J77" s="2" t="s">
        <v>45</v>
      </c>
      <c r="K77" s="2" t="s">
        <v>46</v>
      </c>
      <c r="L77" s="2" t="s">
        <v>47</v>
      </c>
      <c r="M77" s="8" t="s">
        <v>608</v>
      </c>
      <c r="O77" s="5" t="str">
        <f t="shared" si="1"/>
        <v>Hindustan-Varanasi
Link: https://www.livehindustan.com/uttar-pradesh/varanasi/news
RSS Link: https://feed.livehindustan.com/rss/5029</v>
      </c>
    </row>
    <row r="78">
      <c r="A78" s="2" t="s">
        <v>2</v>
      </c>
      <c r="B78" s="2" t="s">
        <v>609</v>
      </c>
      <c r="C78" s="19" t="s">
        <v>610</v>
      </c>
      <c r="D78" s="2" t="s">
        <v>31</v>
      </c>
      <c r="E78" s="6" t="s">
        <v>164</v>
      </c>
      <c r="F78" s="2" t="s">
        <v>39</v>
      </c>
      <c r="G78" s="2" t="s">
        <v>21</v>
      </c>
      <c r="H78" s="2" t="s">
        <v>42</v>
      </c>
      <c r="I78" s="2" t="s">
        <v>43</v>
      </c>
      <c r="J78" s="2" t="s">
        <v>45</v>
      </c>
      <c r="K78" s="2" t="s">
        <v>46</v>
      </c>
      <c r="L78" s="2" t="s">
        <v>47</v>
      </c>
      <c r="M78" s="8" t="s">
        <v>611</v>
      </c>
      <c r="O78" s="5" t="str">
        <f t="shared" si="1"/>
        <v>Hindustan-Bareilly
Link: https://www.livehindustan.com/uttar-pradesh/bareilly/news
RSS Link: https://feed.livehindustan.com/rss/5032</v>
      </c>
    </row>
    <row r="79">
      <c r="A79" s="2" t="s">
        <v>2</v>
      </c>
      <c r="B79" s="2" t="s">
        <v>612</v>
      </c>
      <c r="C79" s="19" t="s">
        <v>613</v>
      </c>
      <c r="D79" s="2" t="s">
        <v>31</v>
      </c>
      <c r="E79" s="6" t="s">
        <v>434</v>
      </c>
      <c r="F79" s="2" t="s">
        <v>39</v>
      </c>
      <c r="G79" s="2" t="s">
        <v>21</v>
      </c>
      <c r="H79" s="2" t="s">
        <v>42</v>
      </c>
      <c r="I79" s="2" t="s">
        <v>43</v>
      </c>
      <c r="J79" s="2" t="s">
        <v>45</v>
      </c>
      <c r="K79" s="2" t="s">
        <v>46</v>
      </c>
      <c r="L79" s="2" t="s">
        <v>47</v>
      </c>
      <c r="M79" s="8" t="s">
        <v>614</v>
      </c>
      <c r="O79" s="5" t="str">
        <f t="shared" si="1"/>
        <v>Hindustan-Moradabad
Link: https://www.livehindustan.com/uttar-pradesh/moradabad/news
RSS Link: https://feed.livehindustan.com/rss/5036</v>
      </c>
    </row>
    <row r="80">
      <c r="A80" s="2" t="s">
        <v>2</v>
      </c>
      <c r="B80" s="2" t="s">
        <v>615</v>
      </c>
      <c r="C80" s="19" t="s">
        <v>616</v>
      </c>
      <c r="D80" s="2" t="s">
        <v>31</v>
      </c>
      <c r="E80" s="6" t="s">
        <v>405</v>
      </c>
      <c r="F80" s="2" t="s">
        <v>39</v>
      </c>
      <c r="G80" s="2" t="s">
        <v>21</v>
      </c>
      <c r="H80" s="2" t="s">
        <v>42</v>
      </c>
      <c r="I80" s="2" t="s">
        <v>43</v>
      </c>
      <c r="J80" s="2" t="s">
        <v>45</v>
      </c>
      <c r="K80" s="2" t="s">
        <v>46</v>
      </c>
      <c r="L80" s="2" t="s">
        <v>47</v>
      </c>
      <c r="M80" s="8" t="s">
        <v>617</v>
      </c>
      <c r="O80" s="5" t="str">
        <f t="shared" si="1"/>
        <v>Hindustan-Meerut
Link: https://www.livehindustan.com/uttar-pradesh/meerut/news
RSS Link: https://feed.livehindustan.com/rss/5031</v>
      </c>
    </row>
    <row r="81">
      <c r="A81" s="2" t="s">
        <v>2</v>
      </c>
      <c r="B81" s="2" t="s">
        <v>618</v>
      </c>
      <c r="C81" s="19" t="s">
        <v>619</v>
      </c>
      <c r="D81" s="2" t="s">
        <v>31</v>
      </c>
      <c r="E81" s="6" t="s">
        <v>49</v>
      </c>
      <c r="F81" s="2" t="s">
        <v>39</v>
      </c>
      <c r="G81" s="2" t="s">
        <v>21</v>
      </c>
      <c r="H81" s="2" t="s">
        <v>42</v>
      </c>
      <c r="I81" s="2" t="s">
        <v>43</v>
      </c>
      <c r="J81" s="2" t="s">
        <v>45</v>
      </c>
      <c r="K81" s="2" t="s">
        <v>46</v>
      </c>
      <c r="L81" s="2" t="s">
        <v>47</v>
      </c>
      <c r="M81" s="8" t="s">
        <v>620</v>
      </c>
      <c r="O81" s="5" t="str">
        <f t="shared" si="1"/>
        <v>Hindustan-Agra
Link: https://www.livehindustan.com/uttar-pradesh/agra/news
RSS Link: https://feed.livehindustan.com/rss/5033</v>
      </c>
    </row>
    <row r="82">
      <c r="A82" s="2" t="s">
        <v>2</v>
      </c>
      <c r="B82" s="2" t="s">
        <v>621</v>
      </c>
      <c r="C82" s="19" t="s">
        <v>622</v>
      </c>
      <c r="D82" s="2" t="s">
        <v>31</v>
      </c>
      <c r="E82" s="6" t="s">
        <v>78</v>
      </c>
      <c r="F82" s="2" t="s">
        <v>39</v>
      </c>
      <c r="G82" s="2" t="s">
        <v>21</v>
      </c>
      <c r="H82" s="2" t="s">
        <v>42</v>
      </c>
      <c r="I82" s="2" t="s">
        <v>43</v>
      </c>
      <c r="J82" s="2" t="s">
        <v>45</v>
      </c>
      <c r="K82" s="2" t="s">
        <v>46</v>
      </c>
      <c r="L82" s="2" t="s">
        <v>47</v>
      </c>
      <c r="M82" s="8" t="s">
        <v>623</v>
      </c>
      <c r="O82" s="5" t="str">
        <f t="shared" si="1"/>
        <v>Hindustan-Aligarh
Link: https://www.livehindustan.com/uttar-pradesh/aligarh/news
RSS Link: https://feed.livehindustan.com/rss/5035</v>
      </c>
    </row>
    <row r="83">
      <c r="A83" s="2" t="s">
        <v>2</v>
      </c>
      <c r="B83" s="2" t="s">
        <v>624</v>
      </c>
      <c r="C83" s="19" t="s">
        <v>625</v>
      </c>
      <c r="D83" s="2" t="s">
        <v>31</v>
      </c>
      <c r="E83" s="6" t="s">
        <v>124</v>
      </c>
      <c r="F83" s="2" t="s">
        <v>39</v>
      </c>
      <c r="G83" s="2" t="s">
        <v>21</v>
      </c>
      <c r="H83" s="2" t="s">
        <v>42</v>
      </c>
      <c r="I83" s="2" t="s">
        <v>43</v>
      </c>
      <c r="J83" s="2" t="s">
        <v>45</v>
      </c>
      <c r="K83" s="2" t="s">
        <v>46</v>
      </c>
      <c r="L83" s="2" t="s">
        <v>47</v>
      </c>
      <c r="M83" s="8" t="s">
        <v>626</v>
      </c>
      <c r="O83" s="5" t="str">
        <f t="shared" si="1"/>
        <v>Hindustan-Prayagraj
Link: https://www.livehindustan.com/uttar-pradesh/prayagraj/news
RSS Link: https://feed.livehindustan.com/rss/11373</v>
      </c>
    </row>
    <row r="84">
      <c r="A84" s="2" t="s">
        <v>2</v>
      </c>
      <c r="B84" s="2" t="s">
        <v>627</v>
      </c>
      <c r="C84" s="19" t="s">
        <v>628</v>
      </c>
      <c r="D84" s="2" t="s">
        <v>31</v>
      </c>
      <c r="E84" s="6" t="s">
        <v>66</v>
      </c>
      <c r="F84" s="2" t="s">
        <v>39</v>
      </c>
      <c r="G84" s="2" t="s">
        <v>21</v>
      </c>
      <c r="H84" s="2" t="s">
        <v>42</v>
      </c>
      <c r="I84" s="2" t="s">
        <v>43</v>
      </c>
      <c r="J84" s="2" t="s">
        <v>45</v>
      </c>
      <c r="K84" s="2" t="s">
        <v>46</v>
      </c>
      <c r="L84" s="2" t="s">
        <v>47</v>
      </c>
      <c r="M84" s="8" t="s">
        <v>629</v>
      </c>
      <c r="O84" s="5" t="str">
        <f t="shared" si="1"/>
        <v>Hindustan-Gorakhpur
Link: https://www.livehindustan.com/uttar-pradesh/gorakhpur/news
RSS Link: https://feed.livehindustan.com/rss/5030</v>
      </c>
    </row>
    <row r="85">
      <c r="A85" s="2" t="s">
        <v>2</v>
      </c>
      <c r="B85" s="2" t="s">
        <v>630</v>
      </c>
      <c r="C85" s="19" t="s">
        <v>631</v>
      </c>
      <c r="D85" s="2" t="s">
        <v>31</v>
      </c>
      <c r="E85" s="6" t="s">
        <v>199</v>
      </c>
      <c r="F85" s="2" t="s">
        <v>39</v>
      </c>
      <c r="G85" s="2" t="s">
        <v>21</v>
      </c>
      <c r="H85" s="2" t="s">
        <v>42</v>
      </c>
      <c r="I85" s="2" t="s">
        <v>43</v>
      </c>
      <c r="J85" s="2" t="s">
        <v>45</v>
      </c>
      <c r="K85" s="2" t="s">
        <v>46</v>
      </c>
      <c r="L85" s="2" t="s">
        <v>47</v>
      </c>
      <c r="M85" s="8" t="s">
        <v>632</v>
      </c>
      <c r="O85" s="5" t="str">
        <f t="shared" si="1"/>
        <v>Hindustan-Kanpur
Link: https://www.livehindustan.com/uttar-pradesh/kanpur/news
RSS Link: https://feed.livehindustan.com/rss/5034</v>
      </c>
    </row>
    <row r="86">
      <c r="A86" s="2" t="s">
        <v>2</v>
      </c>
      <c r="B86" s="2" t="s">
        <v>633</v>
      </c>
      <c r="C86" s="19" t="s">
        <v>634</v>
      </c>
      <c r="D86" s="2" t="s">
        <v>31</v>
      </c>
      <c r="E86" s="6" t="s">
        <v>270</v>
      </c>
      <c r="F86" s="2" t="s">
        <v>39</v>
      </c>
      <c r="G86" s="2" t="s">
        <v>21</v>
      </c>
      <c r="H86" s="2" t="s">
        <v>42</v>
      </c>
      <c r="I86" s="2" t="s">
        <v>43</v>
      </c>
      <c r="J86" s="2" t="s">
        <v>45</v>
      </c>
      <c r="K86" s="2" t="s">
        <v>46</v>
      </c>
      <c r="L86" s="2" t="s">
        <v>47</v>
      </c>
      <c r="M86" s="8" t="s">
        <v>635</v>
      </c>
      <c r="O86" s="5" t="str">
        <f t="shared" si="1"/>
        <v>Hindustan-Barabanki
Link: https://www.livehindustan.com/uttar-pradesh/barabanki/news
RSS Link: https://feed.livehindustan.com/rss/1348440</v>
      </c>
    </row>
    <row r="87">
      <c r="A87" s="2" t="s">
        <v>2</v>
      </c>
      <c r="B87" s="2" t="s">
        <v>636</v>
      </c>
      <c r="C87" s="19" t="s">
        <v>637</v>
      </c>
      <c r="D87" s="2" t="s">
        <v>31</v>
      </c>
      <c r="E87" s="6" t="s">
        <v>142</v>
      </c>
      <c r="F87" s="2" t="s">
        <v>39</v>
      </c>
      <c r="G87" s="2" t="s">
        <v>21</v>
      </c>
      <c r="H87" s="2" t="s">
        <v>42</v>
      </c>
      <c r="I87" s="2" t="s">
        <v>43</v>
      </c>
      <c r="J87" s="2" t="s">
        <v>45</v>
      </c>
      <c r="K87" s="2" t="s">
        <v>46</v>
      </c>
      <c r="L87" s="2" t="s">
        <v>47</v>
      </c>
      <c r="M87" s="8" t="s">
        <v>638</v>
      </c>
      <c r="O87" s="5" t="str">
        <f t="shared" si="1"/>
        <v>Hindustan-Azamgarh
Link: https://www.livehindustan.com/uttar-pradesh/azamgarh/news
RSS Link: https://feed.livehindustan.com/rss/5037</v>
      </c>
    </row>
    <row r="88">
      <c r="A88" s="2" t="s">
        <v>2</v>
      </c>
      <c r="B88" s="2" t="s">
        <v>639</v>
      </c>
      <c r="C88" s="19" t="s">
        <v>640</v>
      </c>
      <c r="D88" s="2" t="s">
        <v>31</v>
      </c>
      <c r="E88" s="6" t="s">
        <v>148</v>
      </c>
      <c r="F88" s="2" t="s">
        <v>39</v>
      </c>
      <c r="G88" s="2" t="s">
        <v>21</v>
      </c>
      <c r="H88" s="2" t="s">
        <v>42</v>
      </c>
      <c r="I88" s="2" t="s">
        <v>43</v>
      </c>
      <c r="J88" s="2" t="s">
        <v>45</v>
      </c>
      <c r="K88" s="2" t="s">
        <v>46</v>
      </c>
      <c r="L88" s="2" t="s">
        <v>47</v>
      </c>
      <c r="M88" s="8" t="s">
        <v>641</v>
      </c>
      <c r="O88" s="5" t="str">
        <f t="shared" si="1"/>
        <v>Hindustan-Ballia
Link: https://www.livehindustan.com/uttar-pradesh/balia/news
RSS Link: https://feed.livehindustan.com/rss/5038</v>
      </c>
    </row>
    <row r="89">
      <c r="A89" s="2" t="s">
        <v>2</v>
      </c>
      <c r="B89" s="2" t="s">
        <v>642</v>
      </c>
      <c r="C89" s="19" t="s">
        <v>643</v>
      </c>
      <c r="D89" s="2" t="s">
        <v>31</v>
      </c>
      <c r="E89" s="6" t="s">
        <v>411</v>
      </c>
      <c r="F89" s="2" t="s">
        <v>39</v>
      </c>
      <c r="G89" s="2" t="s">
        <v>21</v>
      </c>
      <c r="H89" s="2" t="s">
        <v>42</v>
      </c>
      <c r="I89" s="2" t="s">
        <v>43</v>
      </c>
      <c r="J89" s="2" t="s">
        <v>45</v>
      </c>
      <c r="K89" s="2" t="s">
        <v>46</v>
      </c>
      <c r="L89" s="2" t="s">
        <v>47</v>
      </c>
      <c r="M89" s="8" t="s">
        <v>644</v>
      </c>
      <c r="O89" s="5" t="str">
        <f t="shared" si="1"/>
        <v>Hindustan-Bhadohi
Link: https://www.livehindustan.com/uttar-pradesh/bhadohi/news
RSS Link: https://feed.livehindustan.com/rss/5039</v>
      </c>
    </row>
    <row r="90">
      <c r="A90" s="2" t="s">
        <v>2</v>
      </c>
      <c r="B90" s="2" t="s">
        <v>645</v>
      </c>
      <c r="C90" s="19" t="s">
        <v>646</v>
      </c>
      <c r="D90" s="2" t="s">
        <v>31</v>
      </c>
      <c r="E90" s="6" t="s">
        <v>258</v>
      </c>
      <c r="F90" s="2" t="s">
        <v>39</v>
      </c>
      <c r="G90" s="2" t="s">
        <v>21</v>
      </c>
      <c r="H90" s="2" t="s">
        <v>42</v>
      </c>
      <c r="I90" s="2" t="s">
        <v>43</v>
      </c>
      <c r="J90" s="2" t="s">
        <v>45</v>
      </c>
      <c r="K90" s="2" t="s">
        <v>46</v>
      </c>
      <c r="L90" s="2" t="s">
        <v>47</v>
      </c>
      <c r="M90" s="8" t="s">
        <v>647</v>
      </c>
      <c r="O90" s="5" t="str">
        <f t="shared" si="1"/>
        <v>Hindustan-Chandauli
Link: https://www.livehindustan.com/uttar-pradesh/chandauli/news
RSS Link: https://feed.livehindustan.com/rss/5040</v>
      </c>
    </row>
    <row r="91">
      <c r="A91" s="2" t="s">
        <v>2</v>
      </c>
      <c r="B91" s="2" t="s">
        <v>648</v>
      </c>
      <c r="C91" s="19" t="s">
        <v>649</v>
      </c>
      <c r="D91" s="2" t="s">
        <v>31</v>
      </c>
      <c r="E91" s="6" t="s">
        <v>231</v>
      </c>
      <c r="F91" s="2" t="s">
        <v>39</v>
      </c>
      <c r="G91" s="2" t="s">
        <v>21</v>
      </c>
      <c r="H91" s="2" t="s">
        <v>42</v>
      </c>
      <c r="I91" s="2" t="s">
        <v>43</v>
      </c>
      <c r="J91" s="2" t="s">
        <v>45</v>
      </c>
      <c r="K91" s="2" t="s">
        <v>46</v>
      </c>
      <c r="L91" s="2" t="s">
        <v>47</v>
      </c>
      <c r="M91" s="8" t="s">
        <v>650</v>
      </c>
      <c r="O91" s="5" t="str">
        <f t="shared" si="1"/>
        <v>Hindustan-Ghazipur
Link: https://www.livehindustan.com/uttar-pradesh/ghazipur/news
RSS Link: https://feed.livehindustan.com/rss/5041</v>
      </c>
    </row>
    <row r="92">
      <c r="A92" s="2" t="s">
        <v>2</v>
      </c>
      <c r="B92" s="2" t="s">
        <v>651</v>
      </c>
      <c r="C92" s="19" t="s">
        <v>652</v>
      </c>
      <c r="D92" s="2" t="s">
        <v>31</v>
      </c>
      <c r="E92" s="6" t="s">
        <v>291</v>
      </c>
      <c r="F92" s="2" t="s">
        <v>39</v>
      </c>
      <c r="G92" s="2" t="s">
        <v>21</v>
      </c>
      <c r="H92" s="2" t="s">
        <v>42</v>
      </c>
      <c r="I92" s="2" t="s">
        <v>43</v>
      </c>
      <c r="J92" s="2" t="s">
        <v>45</v>
      </c>
      <c r="K92" s="2" t="s">
        <v>46</v>
      </c>
      <c r="L92" s="2" t="s">
        <v>47</v>
      </c>
      <c r="M92" s="8" t="s">
        <v>653</v>
      </c>
      <c r="O92" s="5" t="str">
        <f t="shared" si="1"/>
        <v>Hindustan-Jaunpur
Link: https://www.livehindustan.com/uttar-pradesh/jaunpur/news
RSS Link: https://feed.livehindustan.com/rss/5042</v>
      </c>
    </row>
    <row r="93">
      <c r="A93" s="2" t="s">
        <v>2</v>
      </c>
      <c r="B93" s="2" t="s">
        <v>654</v>
      </c>
      <c r="C93" s="19" t="s">
        <v>655</v>
      </c>
      <c r="D93" s="2" t="s">
        <v>31</v>
      </c>
      <c r="E93" s="6" t="s">
        <v>155</v>
      </c>
      <c r="F93" s="2" t="s">
        <v>39</v>
      </c>
      <c r="G93" s="2" t="s">
        <v>21</v>
      </c>
      <c r="H93" s="2" t="s">
        <v>42</v>
      </c>
      <c r="I93" s="2" t="s">
        <v>43</v>
      </c>
      <c r="J93" s="2" t="s">
        <v>45</v>
      </c>
      <c r="K93" s="2" t="s">
        <v>46</v>
      </c>
      <c r="L93" s="2" t="s">
        <v>47</v>
      </c>
      <c r="M93" s="8" t="s">
        <v>656</v>
      </c>
      <c r="O93" s="5" t="str">
        <f t="shared" si="1"/>
        <v>Hindustan-Mau
Link: https://www.livehindustan.com/uttar-pradesh/mau/news
RSS Link: https://feed.livehindustan.com/rss/5043</v>
      </c>
    </row>
    <row r="94">
      <c r="A94" s="2" t="s">
        <v>2</v>
      </c>
      <c r="B94" s="2" t="s">
        <v>657</v>
      </c>
      <c r="C94" s="19" t="s">
        <v>658</v>
      </c>
      <c r="D94" s="2" t="s">
        <v>31</v>
      </c>
      <c r="E94" s="6" t="s">
        <v>415</v>
      </c>
      <c r="F94" s="2" t="s">
        <v>39</v>
      </c>
      <c r="G94" s="2" t="s">
        <v>21</v>
      </c>
      <c r="H94" s="2" t="s">
        <v>42</v>
      </c>
      <c r="I94" s="2" t="s">
        <v>43</v>
      </c>
      <c r="J94" s="2" t="s">
        <v>45</v>
      </c>
      <c r="K94" s="2" t="s">
        <v>46</v>
      </c>
      <c r="L94" s="2" t="s">
        <v>47</v>
      </c>
      <c r="M94" s="8" t="s">
        <v>659</v>
      </c>
      <c r="O94" s="5" t="str">
        <f t="shared" si="1"/>
        <v>Hindustan-Mirzapur
Link: https://www.livehindustan.com/uttar-pradesh/mirzapur/news
RSS Link: https://feed.livehindustan.com/rss/5044</v>
      </c>
    </row>
    <row r="95">
      <c r="A95" s="2" t="s">
        <v>2</v>
      </c>
      <c r="B95" s="2" t="s">
        <v>660</v>
      </c>
      <c r="C95" s="19" t="s">
        <v>661</v>
      </c>
      <c r="D95" s="2" t="s">
        <v>31</v>
      </c>
      <c r="E95" s="6" t="s">
        <v>422</v>
      </c>
      <c r="F95" s="2" t="s">
        <v>39</v>
      </c>
      <c r="G95" s="2" t="s">
        <v>21</v>
      </c>
      <c r="H95" s="2" t="s">
        <v>42</v>
      </c>
      <c r="I95" s="2" t="s">
        <v>43</v>
      </c>
      <c r="J95" s="2" t="s">
        <v>45</v>
      </c>
      <c r="K95" s="2" t="s">
        <v>46</v>
      </c>
      <c r="L95" s="2" t="s">
        <v>47</v>
      </c>
      <c r="M95" s="8" t="s">
        <v>662</v>
      </c>
      <c r="O95" s="5" t="str">
        <f t="shared" si="1"/>
        <v>Hindustan-Sonbhadra
Link: https://www.livehindustan.com/uttar-pradesh/sonbhadra/news
RSS Link: https://feed.livehindustan.com/rss/5045</v>
      </c>
    </row>
    <row r="96">
      <c r="A96" s="2" t="s">
        <v>2</v>
      </c>
      <c r="B96" s="2" t="s">
        <v>663</v>
      </c>
      <c r="C96" s="19" t="s">
        <v>664</v>
      </c>
      <c r="D96" s="2" t="s">
        <v>31</v>
      </c>
      <c r="E96" s="6" t="s">
        <v>193</v>
      </c>
      <c r="F96" s="2" t="s">
        <v>39</v>
      </c>
      <c r="G96" s="2" t="s">
        <v>21</v>
      </c>
      <c r="H96" s="2" t="s">
        <v>42</v>
      </c>
      <c r="I96" s="2" t="s">
        <v>43</v>
      </c>
      <c r="J96" s="2" t="s">
        <v>45</v>
      </c>
      <c r="K96" s="2" t="s">
        <v>46</v>
      </c>
      <c r="L96" s="2" t="s">
        <v>47</v>
      </c>
      <c r="M96" s="8" t="s">
        <v>665</v>
      </c>
      <c r="O96" s="5" t="str">
        <f t="shared" si="1"/>
        <v>Hindustan-Basti
Link: https://www.livehindustan.com/uttar-pradesh/basti/news
RSS Link: https://feed.livehindustan.com/rss/5046</v>
      </c>
    </row>
    <row r="97">
      <c r="A97" s="2" t="s">
        <v>2</v>
      </c>
      <c r="B97" s="2" t="s">
        <v>666</v>
      </c>
      <c r="C97" s="19" t="s">
        <v>667</v>
      </c>
      <c r="D97" s="2" t="s">
        <v>31</v>
      </c>
      <c r="E97" s="6" t="s">
        <v>210</v>
      </c>
      <c r="F97" s="2" t="s">
        <v>39</v>
      </c>
      <c r="G97" s="2" t="s">
        <v>21</v>
      </c>
      <c r="H97" s="2" t="s">
        <v>42</v>
      </c>
      <c r="I97" s="2" t="s">
        <v>43</v>
      </c>
      <c r="J97" s="2" t="s">
        <v>45</v>
      </c>
      <c r="K97" s="2" t="s">
        <v>46</v>
      </c>
      <c r="L97" s="2" t="s">
        <v>47</v>
      </c>
      <c r="M97" s="8" t="s">
        <v>668</v>
      </c>
      <c r="O97" s="5" t="str">
        <f t="shared" si="1"/>
        <v>Hindustan-Kushinagar
Link: https://www.livehindustan.com/uttar-pradesh/kushinagar/news
RSS Link: https://feed.livehindustan.com/rss/1237903</v>
      </c>
    </row>
    <row r="98">
      <c r="A98" s="2" t="s">
        <v>2</v>
      </c>
      <c r="B98" s="2" t="s">
        <v>669</v>
      </c>
      <c r="C98" s="19" t="s">
        <v>670</v>
      </c>
      <c r="D98" s="2" t="s">
        <v>31</v>
      </c>
      <c r="E98" s="6" t="s">
        <v>283</v>
      </c>
      <c r="F98" s="2" t="s">
        <v>39</v>
      </c>
      <c r="G98" s="2" t="s">
        <v>21</v>
      </c>
      <c r="H98" s="2" t="s">
        <v>42</v>
      </c>
      <c r="I98" s="2" t="s">
        <v>43</v>
      </c>
      <c r="J98" s="2" t="s">
        <v>45</v>
      </c>
      <c r="K98" s="2" t="s">
        <v>46</v>
      </c>
      <c r="L98" s="2" t="s">
        <v>47</v>
      </c>
      <c r="M98" s="8" t="s">
        <v>671</v>
      </c>
      <c r="O98" s="5" t="str">
        <f t="shared" si="1"/>
        <v>Hindustan-Deoria
Link: https://www.livehindustan.com/uttar-pradesh/deoria/news
RSS Link: https://feed.livehindustan.com/rss/5047</v>
      </c>
    </row>
    <row r="99">
      <c r="A99" s="2" t="s">
        <v>2</v>
      </c>
      <c r="B99" s="2" t="s">
        <v>672</v>
      </c>
      <c r="C99" s="19" t="s">
        <v>673</v>
      </c>
      <c r="D99" s="2" t="s">
        <v>31</v>
      </c>
      <c r="E99" s="6" t="s">
        <v>480</v>
      </c>
      <c r="F99" s="2" t="s">
        <v>39</v>
      </c>
      <c r="G99" s="2" t="s">
        <v>21</v>
      </c>
      <c r="H99" s="2" t="s">
        <v>42</v>
      </c>
      <c r="I99" s="2" t="s">
        <v>43</v>
      </c>
      <c r="J99" s="2" t="s">
        <v>45</v>
      </c>
      <c r="K99" s="2" t="s">
        <v>46</v>
      </c>
      <c r="L99" s="2" t="s">
        <v>47</v>
      </c>
      <c r="M99" s="8" t="s">
        <v>674</v>
      </c>
      <c r="O99" s="5" t="str">
        <f t="shared" si="1"/>
        <v>Hindustan-Maharajganj
Link: https://www.livehindustan.com/uttar-pradesh/maharajganj/news
RSS Link: https://feed.livehindustan.com/rss/5048</v>
      </c>
    </row>
    <row r="100">
      <c r="A100" s="2" t="s">
        <v>2</v>
      </c>
      <c r="B100" s="2" t="s">
        <v>675</v>
      </c>
      <c r="C100" s="19" t="s">
        <v>676</v>
      </c>
      <c r="D100" s="2" t="s">
        <v>31</v>
      </c>
      <c r="E100" s="6" t="s">
        <v>200</v>
      </c>
      <c r="F100" s="2" t="s">
        <v>39</v>
      </c>
      <c r="G100" s="2" t="s">
        <v>21</v>
      </c>
      <c r="H100" s="2" t="s">
        <v>42</v>
      </c>
      <c r="I100" s="2" t="s">
        <v>43</v>
      </c>
      <c r="J100" s="2" t="s">
        <v>45</v>
      </c>
      <c r="K100" s="2" t="s">
        <v>46</v>
      </c>
      <c r="L100" s="2" t="s">
        <v>47</v>
      </c>
      <c r="M100" s="8" t="s">
        <v>677</v>
      </c>
      <c r="O100" s="5" t="str">
        <f t="shared" si="1"/>
        <v>Hindustan-Sant Kabir Nagar
Link: https://www.livehindustan.com/uttar-pradesh/sant-kabir-nagar/news
RSS Link: https://feed.livehindustan.com/rss/5050</v>
      </c>
    </row>
    <row r="101">
      <c r="A101" s="2" t="s">
        <v>2</v>
      </c>
      <c r="B101" s="2" t="s">
        <v>678</v>
      </c>
      <c r="C101" s="19" t="s">
        <v>679</v>
      </c>
      <c r="D101" s="2" t="s">
        <v>31</v>
      </c>
      <c r="E101" s="6" t="s">
        <v>680</v>
      </c>
      <c r="F101" s="2" t="s">
        <v>39</v>
      </c>
      <c r="G101" s="2" t="s">
        <v>21</v>
      </c>
      <c r="H101" s="2" t="s">
        <v>42</v>
      </c>
      <c r="I101" s="2" t="s">
        <v>43</v>
      </c>
      <c r="J101" s="2" t="s">
        <v>45</v>
      </c>
      <c r="K101" s="2" t="s">
        <v>46</v>
      </c>
      <c r="L101" s="2" t="s">
        <v>47</v>
      </c>
      <c r="M101" s="8" t="s">
        <v>681</v>
      </c>
      <c r="O101" s="5" t="str">
        <f t="shared" si="1"/>
        <v>Hindustan-Siddharth Nagar
Link: https://www.livehindustan.com/uttar-pradesh/siddharth-nagar/news
RSS Link: https://feed.livehindustan.com/rss/5051</v>
      </c>
    </row>
    <row r="102">
      <c r="A102" s="2" t="s">
        <v>2</v>
      </c>
      <c r="B102" s="2" t="s">
        <v>682</v>
      </c>
      <c r="C102" s="19" t="s">
        <v>683</v>
      </c>
      <c r="D102" s="2" t="s">
        <v>31</v>
      </c>
      <c r="E102" s="6" t="s">
        <v>367</v>
      </c>
      <c r="F102" s="2" t="s">
        <v>39</v>
      </c>
      <c r="G102" s="2" t="s">
        <v>21</v>
      </c>
      <c r="H102" s="2" t="s">
        <v>42</v>
      </c>
      <c r="I102" s="2" t="s">
        <v>43</v>
      </c>
      <c r="J102" s="2" t="s">
        <v>45</v>
      </c>
      <c r="K102" s="2" t="s">
        <v>46</v>
      </c>
      <c r="L102" s="2" t="s">
        <v>47</v>
      </c>
      <c r="M102" s="8" t="s">
        <v>684</v>
      </c>
      <c r="O102" s="5" t="str">
        <f t="shared" si="1"/>
        <v>Hindustan-Bagpat
Link: https://www.livehindustan.com/uttar-pradesh/bagpat/news
RSS Link: https://feed.livehindustan.com/rss/5052</v>
      </c>
    </row>
    <row r="103">
      <c r="A103" s="2" t="s">
        <v>2</v>
      </c>
      <c r="B103" s="2" t="s">
        <v>685</v>
      </c>
      <c r="C103" s="19" t="s">
        <v>686</v>
      </c>
      <c r="D103" s="2" t="s">
        <v>31</v>
      </c>
      <c r="E103" s="6" t="s">
        <v>464</v>
      </c>
      <c r="F103" s="2" t="s">
        <v>39</v>
      </c>
      <c r="G103" s="2" t="s">
        <v>21</v>
      </c>
      <c r="H103" s="2" t="s">
        <v>42</v>
      </c>
      <c r="I103" s="2" t="s">
        <v>43</v>
      </c>
      <c r="J103" s="2" t="s">
        <v>45</v>
      </c>
      <c r="K103" s="2" t="s">
        <v>46</v>
      </c>
      <c r="L103" s="2" t="s">
        <v>47</v>
      </c>
      <c r="M103" s="8" t="s">
        <v>687</v>
      </c>
      <c r="O103" s="5" t="str">
        <f t="shared" si="1"/>
        <v>Hindustan-Shamli
Link: https://www.livehindustan.com/uttar-pradesh/shamli/news
RSS Link: https://feed.livehindustan.com/rss/1237906</v>
      </c>
    </row>
    <row r="104">
      <c r="A104" s="2" t="s">
        <v>2</v>
      </c>
      <c r="B104" s="2" t="s">
        <v>688</v>
      </c>
      <c r="C104" s="19" t="s">
        <v>689</v>
      </c>
      <c r="D104" s="2" t="s">
        <v>31</v>
      </c>
      <c r="E104" s="6" t="s">
        <v>429</v>
      </c>
      <c r="F104" s="2" t="s">
        <v>39</v>
      </c>
      <c r="G104" s="2" t="s">
        <v>21</v>
      </c>
      <c r="H104" s="2" t="s">
        <v>42</v>
      </c>
      <c r="I104" s="2" t="s">
        <v>43</v>
      </c>
      <c r="J104" s="2" t="s">
        <v>45</v>
      </c>
      <c r="K104" s="2" t="s">
        <v>46</v>
      </c>
      <c r="L104" s="2" t="s">
        <v>47</v>
      </c>
      <c r="M104" s="8" t="s">
        <v>690</v>
      </c>
      <c r="O104" s="5" t="str">
        <f t="shared" si="1"/>
        <v>Hindustan-Bijnor
Link: https://www.livehindustan.com/uttar-pradesh/bijnor/news
RSS Link: https://feed.livehindustan.com/rss/5053</v>
      </c>
    </row>
    <row r="105">
      <c r="A105" s="2" t="s">
        <v>2</v>
      </c>
      <c r="B105" s="2" t="s">
        <v>691</v>
      </c>
      <c r="C105" s="19" t="s">
        <v>692</v>
      </c>
      <c r="D105" s="2" t="s">
        <v>31</v>
      </c>
      <c r="E105" s="6" t="s">
        <v>372</v>
      </c>
      <c r="F105" s="2" t="s">
        <v>39</v>
      </c>
      <c r="G105" s="2" t="s">
        <v>21</v>
      </c>
      <c r="H105" s="2" t="s">
        <v>42</v>
      </c>
      <c r="I105" s="2" t="s">
        <v>43</v>
      </c>
      <c r="J105" s="2" t="s">
        <v>45</v>
      </c>
      <c r="K105" s="2" t="s">
        <v>46</v>
      </c>
      <c r="L105" s="2" t="s">
        <v>47</v>
      </c>
      <c r="M105" s="8" t="s">
        <v>693</v>
      </c>
      <c r="O105" s="5" t="str">
        <f t="shared" si="1"/>
        <v>Hindustan-Bulandshahr
Link: https://www.livehindustan.com/uttar-pradesh/bulandshahr/news
RSS Link: https://feed.livehindustan.com/rss/5054</v>
      </c>
    </row>
    <row r="106">
      <c r="A106" s="2" t="s">
        <v>2</v>
      </c>
      <c r="B106" s="2" t="s">
        <v>694</v>
      </c>
      <c r="C106" s="19" t="s">
        <v>695</v>
      </c>
      <c r="D106" s="2" t="s">
        <v>31</v>
      </c>
      <c r="E106" s="6" t="s">
        <v>401</v>
      </c>
      <c r="F106" s="2" t="s">
        <v>39</v>
      </c>
      <c r="G106" s="2" t="s">
        <v>21</v>
      </c>
      <c r="H106" s="2" t="s">
        <v>42</v>
      </c>
      <c r="I106" s="2" t="s">
        <v>43</v>
      </c>
      <c r="J106" s="2" t="s">
        <v>45</v>
      </c>
      <c r="K106" s="2" t="s">
        <v>46</v>
      </c>
      <c r="L106" s="2" t="s">
        <v>47</v>
      </c>
      <c r="M106" s="8" t="s">
        <v>696</v>
      </c>
      <c r="O106" s="5" t="str">
        <f t="shared" si="1"/>
        <v>Hindustan-Hapur
Link: https://www.livehindustan.com/uttar-pradesh/hapur/news
RSS Link: https://feed.livehindustan.com/rss/5056</v>
      </c>
    </row>
    <row r="107">
      <c r="A107" s="2" t="s">
        <v>2</v>
      </c>
      <c r="B107" s="2" t="s">
        <v>697</v>
      </c>
      <c r="C107" s="19" t="s">
        <v>698</v>
      </c>
      <c r="D107" s="2" t="s">
        <v>31</v>
      </c>
      <c r="E107" s="6" t="s">
        <v>699</v>
      </c>
      <c r="F107" s="2" t="s">
        <v>39</v>
      </c>
      <c r="G107" s="2" t="s">
        <v>21</v>
      </c>
      <c r="H107" s="2" t="s">
        <v>42</v>
      </c>
      <c r="I107" s="2" t="s">
        <v>43</v>
      </c>
      <c r="J107" s="2" t="s">
        <v>45</v>
      </c>
      <c r="K107" s="2" t="s">
        <v>46</v>
      </c>
      <c r="L107" s="2" t="s">
        <v>47</v>
      </c>
      <c r="M107" s="8" t="s">
        <v>700</v>
      </c>
      <c r="O107" s="5" t="str">
        <f t="shared" si="1"/>
        <v>Hindustan-Muzaffar Nagar
Link: https://www.livehindustan.com/uttar-pradesh/muzaffarnagar/news
RSS Link: https://feed.livehindustan.com/rss/5057</v>
      </c>
    </row>
    <row r="108">
      <c r="A108" s="2" t="s">
        <v>2</v>
      </c>
      <c r="B108" s="2" t="s">
        <v>701</v>
      </c>
      <c r="C108" s="19" t="s">
        <v>702</v>
      </c>
      <c r="D108" s="2" t="s">
        <v>31</v>
      </c>
      <c r="E108" s="6" t="s">
        <v>457</v>
      </c>
      <c r="F108" s="2" t="s">
        <v>39</v>
      </c>
      <c r="G108" s="2" t="s">
        <v>21</v>
      </c>
      <c r="H108" s="2" t="s">
        <v>42</v>
      </c>
      <c r="I108" s="2" t="s">
        <v>43</v>
      </c>
      <c r="J108" s="2" t="s">
        <v>45</v>
      </c>
      <c r="K108" s="2" t="s">
        <v>46</v>
      </c>
      <c r="L108" s="2" t="s">
        <v>47</v>
      </c>
      <c r="M108" s="8" t="s">
        <v>703</v>
      </c>
      <c r="O108" s="5" t="str">
        <f t="shared" si="1"/>
        <v>Hindustan-Saharanpur
Link: https://www.livehindustan.com/uttar-pradesh/saharanpur/news
RSS Link: https://feed.livehindustan.com/rss/5058</v>
      </c>
    </row>
    <row r="109">
      <c r="A109" s="2" t="s">
        <v>2</v>
      </c>
      <c r="B109" s="2" t="s">
        <v>704</v>
      </c>
      <c r="C109" s="19" t="s">
        <v>705</v>
      </c>
      <c r="D109" s="2" t="s">
        <v>31</v>
      </c>
      <c r="E109" s="6" t="s">
        <v>706</v>
      </c>
      <c r="F109" s="2" t="s">
        <v>39</v>
      </c>
      <c r="G109" s="2" t="s">
        <v>21</v>
      </c>
      <c r="H109" s="2" t="s">
        <v>42</v>
      </c>
      <c r="I109" s="2" t="s">
        <v>43</v>
      </c>
      <c r="J109" s="2" t="s">
        <v>45</v>
      </c>
      <c r="K109" s="2" t="s">
        <v>46</v>
      </c>
      <c r="L109" s="2" t="s">
        <v>47</v>
      </c>
      <c r="M109" s="8" t="s">
        <v>707</v>
      </c>
      <c r="O109" s="5" t="str">
        <f t="shared" si="1"/>
        <v>Hindustan-Badaun
Link: https://www.livehindustan.com/uttar-pradesh/badaun/news
RSS Link: https://feed.livehindustan.com/rss/5061</v>
      </c>
    </row>
    <row r="110">
      <c r="A110" s="2" t="s">
        <v>2</v>
      </c>
      <c r="B110" s="2" t="s">
        <v>708</v>
      </c>
      <c r="C110" s="19" t="s">
        <v>709</v>
      </c>
      <c r="D110" s="2" t="s">
        <v>31</v>
      </c>
      <c r="E110" s="6" t="s">
        <v>341</v>
      </c>
      <c r="F110" s="2" t="s">
        <v>39</v>
      </c>
      <c r="G110" s="2" t="s">
        <v>21</v>
      </c>
      <c r="H110" s="2" t="s">
        <v>42</v>
      </c>
      <c r="I110" s="2" t="s">
        <v>43</v>
      </c>
      <c r="J110" s="2" t="s">
        <v>45</v>
      </c>
      <c r="K110" s="2" t="s">
        <v>46</v>
      </c>
      <c r="L110" s="2" t="s">
        <v>47</v>
      </c>
      <c r="M110" s="8" t="s">
        <v>710</v>
      </c>
      <c r="O110" s="5" t="str">
        <f t="shared" si="1"/>
        <v>Hindustan-Lakhimpur Kheri
Link: https://www.livehindustan.com/uttar-pradesh/lakhimpur-kheri/news
RSS Link: https://feed.livehindustan.com/rss/5062</v>
      </c>
    </row>
    <row r="111">
      <c r="A111" s="2" t="s">
        <v>2</v>
      </c>
      <c r="B111" s="2" t="s">
        <v>711</v>
      </c>
      <c r="C111" s="19" t="s">
        <v>712</v>
      </c>
      <c r="D111" s="2" t="s">
        <v>31</v>
      </c>
      <c r="E111" s="6" t="s">
        <v>178</v>
      </c>
      <c r="F111" s="2" t="s">
        <v>39</v>
      </c>
      <c r="G111" s="2" t="s">
        <v>21</v>
      </c>
      <c r="H111" s="2" t="s">
        <v>42</v>
      </c>
      <c r="I111" s="2" t="s">
        <v>43</v>
      </c>
      <c r="J111" s="2" t="s">
        <v>45</v>
      </c>
      <c r="K111" s="2" t="s">
        <v>46</v>
      </c>
      <c r="L111" s="2" t="s">
        <v>47</v>
      </c>
      <c r="M111" s="8" t="s">
        <v>713</v>
      </c>
      <c r="O111" s="5" t="str">
        <f t="shared" si="1"/>
        <v>Hindustan-Pilibhit
Link: https://www.livehindustan.com/uttar-pradesh/pilibhit/news
RSS Link: https://feed.livehindustan.com/rss/5063</v>
      </c>
    </row>
    <row r="112">
      <c r="A112" s="2" t="s">
        <v>2</v>
      </c>
      <c r="B112" s="2" t="s">
        <v>714</v>
      </c>
      <c r="C112" s="19" t="s">
        <v>715</v>
      </c>
      <c r="D112" s="2" t="s">
        <v>31</v>
      </c>
      <c r="E112" s="6" t="s">
        <v>184</v>
      </c>
      <c r="F112" s="2" t="s">
        <v>39</v>
      </c>
      <c r="G112" s="2" t="s">
        <v>21</v>
      </c>
      <c r="H112" s="2" t="s">
        <v>42</v>
      </c>
      <c r="I112" s="2" t="s">
        <v>43</v>
      </c>
      <c r="J112" s="2" t="s">
        <v>45</v>
      </c>
      <c r="K112" s="2" t="s">
        <v>46</v>
      </c>
      <c r="L112" s="2" t="s">
        <v>47</v>
      </c>
      <c r="M112" s="8" t="s">
        <v>716</v>
      </c>
      <c r="O112" s="5" t="str">
        <f t="shared" si="1"/>
        <v>Hindustan-Shahjahanpur
Link: https://www.livehindustan.com/uttar-pradesh/shahjahanpur/news
RSS Link: https://feed.livehindustan.com/rss/5064</v>
      </c>
    </row>
    <row r="113">
      <c r="A113" s="2" t="s">
        <v>2</v>
      </c>
      <c r="B113" s="2" t="s">
        <v>717</v>
      </c>
      <c r="C113" s="19" t="s">
        <v>718</v>
      </c>
      <c r="D113" s="2" t="s">
        <v>31</v>
      </c>
      <c r="E113" s="6" t="s">
        <v>86</v>
      </c>
      <c r="F113" s="2" t="s">
        <v>39</v>
      </c>
      <c r="G113" s="2" t="s">
        <v>21</v>
      </c>
      <c r="H113" s="2" t="s">
        <v>42</v>
      </c>
      <c r="I113" s="2" t="s">
        <v>43</v>
      </c>
      <c r="J113" s="2" t="s">
        <v>45</v>
      </c>
      <c r="K113" s="2" t="s">
        <v>46</v>
      </c>
      <c r="L113" s="2" t="s">
        <v>47</v>
      </c>
      <c r="M113" s="8" t="s">
        <v>719</v>
      </c>
      <c r="O113" s="5" t="str">
        <f t="shared" si="1"/>
        <v>Hindustan-Etah
Link: https://www.livehindustan.com/uttar-pradesh/etah/news
RSS Link: https://feed.livehindustan.com/rss/5065</v>
      </c>
    </row>
    <row r="114">
      <c r="A114" s="2" t="s">
        <v>2</v>
      </c>
      <c r="B114" s="2" t="s">
        <v>720</v>
      </c>
      <c r="C114" s="19" t="s">
        <v>721</v>
      </c>
      <c r="D114" s="2" t="s">
        <v>31</v>
      </c>
      <c r="E114" s="6" t="s">
        <v>56</v>
      </c>
      <c r="F114" s="2" t="s">
        <v>39</v>
      </c>
      <c r="G114" s="2" t="s">
        <v>21</v>
      </c>
      <c r="H114" s="2" t="s">
        <v>42</v>
      </c>
      <c r="I114" s="2" t="s">
        <v>43</v>
      </c>
      <c r="J114" s="2" t="s">
        <v>45</v>
      </c>
      <c r="K114" s="2" t="s">
        <v>46</v>
      </c>
      <c r="L114" s="2" t="s">
        <v>47</v>
      </c>
      <c r="M114" s="8" t="s">
        <v>722</v>
      </c>
      <c r="O114" s="5" t="str">
        <f t="shared" si="1"/>
        <v>Hindustan-Firozabad
Link: https://www.livehindustan.com/uttar-pradesh/firozabad/news
RSS Link: https://feed.livehindustan.com/rss/5066</v>
      </c>
    </row>
    <row r="115">
      <c r="A115" s="2" t="s">
        <v>2</v>
      </c>
      <c r="B115" s="2" t="s">
        <v>724</v>
      </c>
      <c r="C115" s="19" t="s">
        <v>725</v>
      </c>
      <c r="D115" s="2" t="s">
        <v>31</v>
      </c>
      <c r="E115" s="6" t="s">
        <v>63</v>
      </c>
      <c r="F115" s="2" t="s">
        <v>39</v>
      </c>
      <c r="G115" s="2" t="s">
        <v>21</v>
      </c>
      <c r="H115" s="2" t="s">
        <v>42</v>
      </c>
      <c r="I115" s="2" t="s">
        <v>43</v>
      </c>
      <c r="J115" s="2" t="s">
        <v>45</v>
      </c>
      <c r="K115" s="2" t="s">
        <v>46</v>
      </c>
      <c r="L115" s="2" t="s">
        <v>47</v>
      </c>
      <c r="M115" s="8" t="s">
        <v>733</v>
      </c>
      <c r="O115" s="5" t="str">
        <f t="shared" si="1"/>
        <v>Hindustan-Mainpuri
Link: https://www.livehindustan.com/uttar-pradesh/mainpuri/news
RSS Link: https://feed.livehindustan.com/rss/5067</v>
      </c>
    </row>
    <row r="116">
      <c r="A116" s="2" t="s">
        <v>2</v>
      </c>
      <c r="B116" s="2" t="s">
        <v>735</v>
      </c>
      <c r="C116" s="19" t="s">
        <v>736</v>
      </c>
      <c r="D116" s="2" t="s">
        <v>31</v>
      </c>
      <c r="E116" s="6" t="s">
        <v>69</v>
      </c>
      <c r="F116" s="2" t="s">
        <v>39</v>
      </c>
      <c r="G116" s="2" t="s">
        <v>21</v>
      </c>
      <c r="H116" s="2" t="s">
        <v>42</v>
      </c>
      <c r="I116" s="2" t="s">
        <v>43</v>
      </c>
      <c r="J116" s="2" t="s">
        <v>45</v>
      </c>
      <c r="K116" s="2" t="s">
        <v>46</v>
      </c>
      <c r="L116" s="2" t="s">
        <v>47</v>
      </c>
      <c r="M116" s="8" t="s">
        <v>737</v>
      </c>
      <c r="O116" s="5" t="str">
        <f t="shared" si="1"/>
        <v>Hindustan-Mathura
Link: https://www.livehindustan.com/uttar-pradesh/mathura/news
RSS Link: https://feed.livehindustan.com/rss/5068</v>
      </c>
    </row>
    <row r="117">
      <c r="A117" s="2" t="s">
        <v>2</v>
      </c>
      <c r="B117" s="2" t="s">
        <v>738</v>
      </c>
      <c r="C117" s="19" t="s">
        <v>739</v>
      </c>
      <c r="D117" s="2" t="s">
        <v>31</v>
      </c>
      <c r="E117" s="6" t="s">
        <v>740</v>
      </c>
      <c r="F117" s="2" t="s">
        <v>39</v>
      </c>
      <c r="G117" s="2" t="s">
        <v>21</v>
      </c>
      <c r="H117" s="2" t="s">
        <v>42</v>
      </c>
      <c r="I117" s="2" t="s">
        <v>43</v>
      </c>
      <c r="J117" s="2" t="s">
        <v>45</v>
      </c>
      <c r="K117" s="2" t="s">
        <v>46</v>
      </c>
      <c r="L117" s="2" t="s">
        <v>47</v>
      </c>
      <c r="M117" s="8" t="s">
        <v>741</v>
      </c>
      <c r="O117" s="5" t="str">
        <f t="shared" si="1"/>
        <v>Hindustan-Ambedkar Nagar
Link: https://www.livehindustan.com/uttar-pradesh/ambedkar-nagar/news
RSS Link: https://feed.livehindustan.com/rss/5069</v>
      </c>
    </row>
    <row r="118">
      <c r="A118" s="2" t="s">
        <v>2</v>
      </c>
      <c r="B118" s="2" t="s">
        <v>742</v>
      </c>
      <c r="C118" s="19" t="s">
        <v>743</v>
      </c>
      <c r="D118" s="2" t="s">
        <v>31</v>
      </c>
      <c r="E118" s="6" t="s">
        <v>92</v>
      </c>
      <c r="F118" s="2" t="s">
        <v>39</v>
      </c>
      <c r="G118" s="2" t="s">
        <v>21</v>
      </c>
      <c r="H118" s="2" t="s">
        <v>42</v>
      </c>
      <c r="I118" s="2" t="s">
        <v>43</v>
      </c>
      <c r="J118" s="2" t="s">
        <v>45</v>
      </c>
      <c r="K118" s="2" t="s">
        <v>46</v>
      </c>
      <c r="L118" s="2" t="s">
        <v>47</v>
      </c>
      <c r="M118" s="8" t="s">
        <v>744</v>
      </c>
      <c r="O118" s="5" t="str">
        <f t="shared" si="1"/>
        <v>Hindustan-Amethi
Link: https://www.livehindustan.com/uttar-pradesh/amethi/news
RSS Link: https://feed.livehindustan.com/rss/1237907</v>
      </c>
    </row>
    <row r="119">
      <c r="A119" s="2" t="s">
        <v>2</v>
      </c>
      <c r="B119" s="2" t="s">
        <v>745</v>
      </c>
      <c r="C119" s="19" t="s">
        <v>746</v>
      </c>
      <c r="D119" s="2" t="s">
        <v>31</v>
      </c>
      <c r="E119" s="6" t="s">
        <v>747</v>
      </c>
      <c r="F119" s="2" t="s">
        <v>39</v>
      </c>
      <c r="G119" s="2" t="s">
        <v>21</v>
      </c>
      <c r="H119" s="2" t="s">
        <v>42</v>
      </c>
      <c r="I119" s="2" t="s">
        <v>43</v>
      </c>
      <c r="J119" s="2" t="s">
        <v>45</v>
      </c>
      <c r="K119" s="2" t="s">
        <v>46</v>
      </c>
      <c r="L119" s="2" t="s">
        <v>47</v>
      </c>
      <c r="M119" s="8" t="s">
        <v>748</v>
      </c>
      <c r="O119" s="5" t="str">
        <f t="shared" si="1"/>
        <v>Hindustan-Gauriganj
Link: https://www.livehindustan.com/uttar-pradesh/gauriganj/news
RSS Link: https://feed.livehindustan.com/rss/1237908</v>
      </c>
    </row>
    <row r="120">
      <c r="A120" s="2" t="s">
        <v>2</v>
      </c>
      <c r="B120" s="2" t="s">
        <v>749</v>
      </c>
      <c r="C120" s="19" t="s">
        <v>750</v>
      </c>
      <c r="D120" s="2" t="s">
        <v>31</v>
      </c>
      <c r="E120" s="6" t="s">
        <v>251</v>
      </c>
      <c r="F120" s="2" t="s">
        <v>39</v>
      </c>
      <c r="G120" s="2" t="s">
        <v>21</v>
      </c>
      <c r="H120" s="2" t="s">
        <v>42</v>
      </c>
      <c r="I120" s="2" t="s">
        <v>43</v>
      </c>
      <c r="J120" s="2" t="s">
        <v>45</v>
      </c>
      <c r="K120" s="2" t="s">
        <v>46</v>
      </c>
      <c r="L120" s="2" t="s">
        <v>47</v>
      </c>
      <c r="M120" s="8" t="s">
        <v>751</v>
      </c>
      <c r="O120" s="5" t="str">
        <f t="shared" si="1"/>
        <v>Hindustan-Shravasti
Link: https://www.livehindustan.com/uttar-pradesh/shravasti/news
RSS Link: https://feed.livehindustan.com/rss/1237909</v>
      </c>
    </row>
    <row r="121">
      <c r="A121" s="2" t="s">
        <v>2</v>
      </c>
      <c r="B121" s="2" t="s">
        <v>752</v>
      </c>
      <c r="C121" s="19" t="s">
        <v>753</v>
      </c>
      <c r="D121" s="2" t="s">
        <v>31</v>
      </c>
      <c r="E121" s="6" t="s">
        <v>240</v>
      </c>
      <c r="F121" s="2" t="s">
        <v>39</v>
      </c>
      <c r="G121" s="2" t="s">
        <v>21</v>
      </c>
      <c r="H121" s="2" t="s">
        <v>42</v>
      </c>
      <c r="I121" s="2" t="s">
        <v>43</v>
      </c>
      <c r="J121" s="2" t="s">
        <v>45</v>
      </c>
      <c r="K121" s="2" t="s">
        <v>46</v>
      </c>
      <c r="L121" s="2" t="s">
        <v>47</v>
      </c>
      <c r="M121" s="8" t="s">
        <v>754</v>
      </c>
      <c r="O121" s="5" t="str">
        <f t="shared" si="1"/>
        <v>Hindustan-Balrampur
Link: https://www.livehindustan.com/uttar-pradesh/balrampur/news
RSS Link: https://feed.livehindustan.com/rss/5070</v>
      </c>
    </row>
    <row r="122">
      <c r="A122" s="2" t="s">
        <v>2</v>
      </c>
      <c r="B122" s="2" t="s">
        <v>755</v>
      </c>
      <c r="C122" s="19" t="s">
        <v>756</v>
      </c>
      <c r="D122" s="2" t="s">
        <v>31</v>
      </c>
      <c r="E122" s="6" t="s">
        <v>233</v>
      </c>
      <c r="F122" s="2" t="s">
        <v>39</v>
      </c>
      <c r="G122" s="2" t="s">
        <v>21</v>
      </c>
      <c r="H122" s="2" t="s">
        <v>42</v>
      </c>
      <c r="I122" s="2" t="s">
        <v>43</v>
      </c>
      <c r="J122" s="2" t="s">
        <v>45</v>
      </c>
      <c r="K122" s="2" t="s">
        <v>46</v>
      </c>
      <c r="L122" s="2" t="s">
        <v>47</v>
      </c>
      <c r="M122" s="8" t="s">
        <v>757</v>
      </c>
      <c r="O122" s="5" t="str">
        <f t="shared" si="1"/>
        <v>Hindustan-Bahraich
Link: https://www.livehindustan.com/uttar-pradesh/bahraich/news
RSS Link: https://feed.livehindustan.com/rss/5072</v>
      </c>
    </row>
    <row r="123">
      <c r="A123" s="2" t="s">
        <v>2</v>
      </c>
      <c r="B123" s="2" t="s">
        <v>758</v>
      </c>
      <c r="C123" s="19" t="s">
        <v>759</v>
      </c>
      <c r="D123" s="2" t="s">
        <v>31</v>
      </c>
      <c r="E123" s="6" t="s">
        <v>113</v>
      </c>
      <c r="F123" s="2" t="s">
        <v>39</v>
      </c>
      <c r="G123" s="2" t="s">
        <v>21</v>
      </c>
      <c r="H123" s="2" t="s">
        <v>42</v>
      </c>
      <c r="I123" s="2" t="s">
        <v>43</v>
      </c>
      <c r="J123" s="2" t="s">
        <v>45</v>
      </c>
      <c r="K123" s="2" t="s">
        <v>46</v>
      </c>
      <c r="L123" s="2" t="s">
        <v>47</v>
      </c>
      <c r="M123" s="8" t="s">
        <v>760</v>
      </c>
      <c r="O123" s="5" t="str">
        <f t="shared" si="1"/>
        <v>Hindustan-Faizabad
Link: https://www.livehindustan.com/uttar-pradesh/faizabad/news
RSS Link: https://feed.livehindustan.com/rss/5073</v>
      </c>
    </row>
    <row r="124">
      <c r="A124" s="2" t="s">
        <v>2</v>
      </c>
      <c r="B124" s="2" t="s">
        <v>761</v>
      </c>
      <c r="C124" s="19" t="s">
        <v>762</v>
      </c>
      <c r="D124" s="2" t="s">
        <v>31</v>
      </c>
      <c r="E124" s="6" t="s">
        <v>238</v>
      </c>
      <c r="F124" s="2" t="s">
        <v>39</v>
      </c>
      <c r="G124" s="2" t="s">
        <v>21</v>
      </c>
      <c r="H124" s="2" t="s">
        <v>42</v>
      </c>
      <c r="I124" s="2" t="s">
        <v>43</v>
      </c>
      <c r="J124" s="2" t="s">
        <v>45</v>
      </c>
      <c r="K124" s="2" t="s">
        <v>46</v>
      </c>
      <c r="L124" s="2" t="s">
        <v>47</v>
      </c>
      <c r="M124" s="8" t="s">
        <v>763</v>
      </c>
      <c r="O124" s="5" t="str">
        <f t="shared" si="1"/>
        <v>Hindustan-Gonda
Link: https://www.livehindustan.com/uttar-pradesh/gonda/news
RSS Link: https://feed.livehindustan.com/rss/5074</v>
      </c>
    </row>
    <row r="125">
      <c r="A125" s="2" t="s">
        <v>2</v>
      </c>
      <c r="B125" s="2" t="s">
        <v>764</v>
      </c>
      <c r="C125" s="19" t="s">
        <v>765</v>
      </c>
      <c r="D125" s="2" t="s">
        <v>31</v>
      </c>
      <c r="E125" s="6" t="s">
        <v>351</v>
      </c>
      <c r="F125" s="2" t="s">
        <v>39</v>
      </c>
      <c r="G125" s="2" t="s">
        <v>21</v>
      </c>
      <c r="H125" s="2" t="s">
        <v>42</v>
      </c>
      <c r="I125" s="2" t="s">
        <v>43</v>
      </c>
      <c r="J125" s="2" t="s">
        <v>45</v>
      </c>
      <c r="K125" s="2" t="s">
        <v>46</v>
      </c>
      <c r="L125" s="2" t="s">
        <v>47</v>
      </c>
      <c r="M125" s="8" t="s">
        <v>766</v>
      </c>
      <c r="O125" s="5" t="str">
        <f t="shared" si="1"/>
        <v>Hindustan-Raebareli
Link: https://www.livehindustan.com/uttar-pradesh/raebareli/news
RSS Link: https://feed.livehindustan.com/rss/5075</v>
      </c>
    </row>
    <row r="126">
      <c r="A126" s="2" t="s">
        <v>2</v>
      </c>
      <c r="B126" s="2" t="s">
        <v>767</v>
      </c>
      <c r="C126" s="19" t="s">
        <v>768</v>
      </c>
      <c r="D126" s="2" t="s">
        <v>31</v>
      </c>
      <c r="E126" s="6" t="s">
        <v>130</v>
      </c>
      <c r="F126" s="2" t="s">
        <v>39</v>
      </c>
      <c r="G126" s="2" t="s">
        <v>21</v>
      </c>
      <c r="H126" s="2" t="s">
        <v>42</v>
      </c>
      <c r="I126" s="2" t="s">
        <v>43</v>
      </c>
      <c r="J126" s="2" t="s">
        <v>45</v>
      </c>
      <c r="K126" s="2" t="s">
        <v>46</v>
      </c>
      <c r="L126" s="2" t="s">
        <v>47</v>
      </c>
      <c r="M126" s="8" t="s">
        <v>769</v>
      </c>
      <c r="O126" s="5" t="str">
        <f t="shared" si="1"/>
        <v>Hindustan-Fatehpur
Link: https://www.livehindustan.com/uttar-pradesh/fatehpur/news
RSS Link: https://feed.livehindustan.com/rss/896272</v>
      </c>
    </row>
    <row r="127">
      <c r="A127" s="2" t="s">
        <v>2</v>
      </c>
      <c r="B127" s="2" t="s">
        <v>770</v>
      </c>
      <c r="C127" s="19" t="s">
        <v>771</v>
      </c>
      <c r="D127" s="2" t="s">
        <v>31</v>
      </c>
      <c r="E127" s="6" t="s">
        <v>357</v>
      </c>
      <c r="F127" s="2" t="s">
        <v>39</v>
      </c>
      <c r="G127" s="2" t="s">
        <v>21</v>
      </c>
      <c r="H127" s="2" t="s">
        <v>42</v>
      </c>
      <c r="I127" s="2" t="s">
        <v>43</v>
      </c>
      <c r="J127" s="2" t="s">
        <v>45</v>
      </c>
      <c r="K127" s="2" t="s">
        <v>46</v>
      </c>
      <c r="L127" s="2" t="s">
        <v>47</v>
      </c>
      <c r="M127" s="8" t="s">
        <v>772</v>
      </c>
      <c r="O127" s="5" t="str">
        <f t="shared" si="1"/>
        <v>Hindustan-Sitapur
Link: https://www.livehindustan.com/uttar-pradesh/sitapur/news
RSS Link: https://feed.livehindustan.com/rss/5076</v>
      </c>
    </row>
    <row r="128">
      <c r="A128" s="2" t="s">
        <v>2</v>
      </c>
      <c r="B128" s="2" t="s">
        <v>773</v>
      </c>
      <c r="C128" s="19" t="s">
        <v>774</v>
      </c>
      <c r="D128" s="2" t="s">
        <v>31</v>
      </c>
      <c r="E128" s="2" t="s">
        <v>279</v>
      </c>
      <c r="F128" s="2" t="s">
        <v>39</v>
      </c>
      <c r="G128" s="2" t="s">
        <v>21</v>
      </c>
      <c r="H128" s="2" t="s">
        <v>42</v>
      </c>
      <c r="I128" s="2" t="s">
        <v>43</v>
      </c>
      <c r="J128" s="2" t="s">
        <v>45</v>
      </c>
      <c r="K128" s="2" t="s">
        <v>46</v>
      </c>
      <c r="L128" s="2" t="s">
        <v>47</v>
      </c>
      <c r="M128" s="8" t="s">
        <v>775</v>
      </c>
      <c r="O128" s="5" t="str">
        <f t="shared" si="1"/>
        <v>Hindustan-Sultanpur
Link: https://www.livehindustan.com/uttar-pradesh/sultanpur/news
RSS Link: https://feed.livehindustan.com/rss/5077</v>
      </c>
    </row>
    <row r="129">
      <c r="A129" s="2" t="s">
        <v>2</v>
      </c>
      <c r="B129" s="2" t="s">
        <v>776</v>
      </c>
      <c r="C129" s="19" t="s">
        <v>777</v>
      </c>
      <c r="D129" s="2" t="s">
        <v>31</v>
      </c>
      <c r="E129" s="6" t="s">
        <v>181</v>
      </c>
      <c r="F129" s="2" t="s">
        <v>39</v>
      </c>
      <c r="G129" s="2" t="s">
        <v>21</v>
      </c>
      <c r="H129" s="2" t="s">
        <v>42</v>
      </c>
      <c r="I129" s="2" t="s">
        <v>43</v>
      </c>
      <c r="J129" s="2" t="s">
        <v>45</v>
      </c>
      <c r="K129" s="2" t="s">
        <v>46</v>
      </c>
      <c r="L129" s="2" t="s">
        <v>47</v>
      </c>
      <c r="M129" s="8" t="s">
        <v>778</v>
      </c>
      <c r="O129" s="5" t="str">
        <f t="shared" si="1"/>
        <v>Hindustan-Auraiya
Link: https://www.livehindustan.com/uttar-pradesh/auraiya/news
RSS Link: https://feed.livehindustan.com/rss/5078</v>
      </c>
    </row>
    <row r="130">
      <c r="A130" s="2" t="s">
        <v>2</v>
      </c>
      <c r="B130" s="2" t="s">
        <v>779</v>
      </c>
      <c r="C130" s="19" t="s">
        <v>780</v>
      </c>
      <c r="D130" s="2" t="s">
        <v>31</v>
      </c>
      <c r="E130" s="6" t="s">
        <v>781</v>
      </c>
      <c r="F130" s="2" t="s">
        <v>39</v>
      </c>
      <c r="G130" s="2" t="s">
        <v>21</v>
      </c>
      <c r="H130" s="2" t="s">
        <v>42</v>
      </c>
      <c r="I130" s="2" t="s">
        <v>43</v>
      </c>
      <c r="J130" s="2" t="s">
        <v>45</v>
      </c>
      <c r="K130" s="2" t="s">
        <v>46</v>
      </c>
      <c r="L130" s="2" t="s">
        <v>47</v>
      </c>
      <c r="M130" s="8" t="s">
        <v>782</v>
      </c>
      <c r="O130" s="5" t="str">
        <f t="shared" si="1"/>
        <v>Hindustan-Akbarpur
Link: https://www.livehindustan.com/uttar-pradesh/akbarpur/news
RSS Link: https://feed.livehindustan.com/rss/1237918</v>
      </c>
    </row>
    <row r="131">
      <c r="A131" s="2" t="s">
        <v>2</v>
      </c>
      <c r="B131" s="2" t="s">
        <v>783</v>
      </c>
      <c r="C131" s="19" t="s">
        <v>784</v>
      </c>
      <c r="D131" s="2" t="s">
        <v>31</v>
      </c>
      <c r="E131" s="6" t="s">
        <v>785</v>
      </c>
      <c r="F131" s="2" t="s">
        <v>39</v>
      </c>
      <c r="G131" s="2" t="s">
        <v>21</v>
      </c>
      <c r="H131" s="2" t="s">
        <v>42</v>
      </c>
      <c r="I131" s="2" t="s">
        <v>43</v>
      </c>
      <c r="J131" s="2" t="s">
        <v>45</v>
      </c>
      <c r="K131" s="2" t="s">
        <v>46</v>
      </c>
      <c r="L131" s="2" t="s">
        <v>47</v>
      </c>
      <c r="M131" s="8" t="s">
        <v>786</v>
      </c>
      <c r="O131" s="5" t="str">
        <f t="shared" si="1"/>
        <v>Hindustan-Billhor
Link: https://www.livehindustan.com/uttar-pradesh/bilhor/news
RSS Link: https://feed.livehindustan.com/rss/1237931</v>
      </c>
    </row>
    <row r="132">
      <c r="A132" s="2" t="s">
        <v>2</v>
      </c>
      <c r="B132" s="2" t="s">
        <v>787</v>
      </c>
      <c r="C132" s="19" t="s">
        <v>788</v>
      </c>
      <c r="D132" s="2" t="s">
        <v>31</v>
      </c>
      <c r="E132" s="6" t="s">
        <v>311</v>
      </c>
      <c r="F132" s="2" t="s">
        <v>39</v>
      </c>
      <c r="G132" s="2" t="s">
        <v>21</v>
      </c>
      <c r="H132" s="2" t="s">
        <v>42</v>
      </c>
      <c r="I132" s="2" t="s">
        <v>43</v>
      </c>
      <c r="J132" s="2" t="s">
        <v>45</v>
      </c>
      <c r="K132" s="2" t="s">
        <v>46</v>
      </c>
      <c r="L132" s="2" t="s">
        <v>47</v>
      </c>
      <c r="M132" s="8" t="s">
        <v>789</v>
      </c>
      <c r="O132" s="5" t="str">
        <f t="shared" si="1"/>
        <v>Hindustan-Lalitpur
Link: https://www.livehindustan.com/uttar-pradesh/lalitpur/news
RSS Link: https://feed.livehindustan.com/rss/1238008</v>
      </c>
    </row>
    <row r="133">
      <c r="A133" s="2" t="s">
        <v>2</v>
      </c>
      <c r="B133" s="2" t="s">
        <v>790</v>
      </c>
      <c r="C133" s="19" t="s">
        <v>791</v>
      </c>
      <c r="D133" s="2" t="s">
        <v>31</v>
      </c>
      <c r="E133" s="6" t="s">
        <v>228</v>
      </c>
      <c r="F133" s="2" t="s">
        <v>39</v>
      </c>
      <c r="G133" s="2" t="s">
        <v>21</v>
      </c>
      <c r="H133" s="2" t="s">
        <v>42</v>
      </c>
      <c r="I133" s="2" t="s">
        <v>43</v>
      </c>
      <c r="J133" s="2" t="s">
        <v>45</v>
      </c>
      <c r="K133" s="2" t="s">
        <v>46</v>
      </c>
      <c r="L133" s="2" t="s">
        <v>47</v>
      </c>
      <c r="M133" s="8" t="s">
        <v>792</v>
      </c>
      <c r="O133" s="5" t="str">
        <f t="shared" si="1"/>
        <v>Hindustan-Mahoba
Link: https://www.livehindustan.com/uttar-pradesh/mahoba/news
RSS Link: https://feed.livehindustan.com/rss/1238011</v>
      </c>
    </row>
    <row r="134">
      <c r="A134" s="2" t="s">
        <v>2</v>
      </c>
      <c r="B134" s="2" t="s">
        <v>793</v>
      </c>
      <c r="C134" s="19" t="s">
        <v>794</v>
      </c>
      <c r="D134" s="2" t="s">
        <v>31</v>
      </c>
      <c r="E134" s="6" t="s">
        <v>795</v>
      </c>
      <c r="F134" s="2" t="s">
        <v>39</v>
      </c>
      <c r="G134" s="2" t="s">
        <v>21</v>
      </c>
      <c r="H134" s="2" t="s">
        <v>42</v>
      </c>
      <c r="I134" s="2" t="s">
        <v>43</v>
      </c>
      <c r="J134" s="2" t="s">
        <v>45</v>
      </c>
      <c r="K134" s="2" t="s">
        <v>46</v>
      </c>
      <c r="L134" s="2" t="s">
        <v>47</v>
      </c>
      <c r="M134" s="8" t="s">
        <v>796</v>
      </c>
      <c r="O134" s="5" t="str">
        <f t="shared" si="1"/>
        <v>Hindustan-Kanpur Rural
Link: https://www.livehindustan.com/uttar-pradesh/kanpur-rural/news
RSS Link: https://feed.livehindustan.com/rss/1238022</v>
      </c>
    </row>
    <row r="135">
      <c r="A135" s="2" t="s">
        <v>2</v>
      </c>
      <c r="B135" s="2" t="s">
        <v>797</v>
      </c>
      <c r="C135" s="19" t="s">
        <v>798</v>
      </c>
      <c r="D135" s="2" t="s">
        <v>31</v>
      </c>
      <c r="E135" s="6" t="s">
        <v>218</v>
      </c>
      <c r="F135" s="2" t="s">
        <v>39</v>
      </c>
      <c r="G135" s="2" t="s">
        <v>21</v>
      </c>
      <c r="H135" s="2" t="s">
        <v>42</v>
      </c>
      <c r="I135" s="2" t="s">
        <v>43</v>
      </c>
      <c r="J135" s="2" t="s">
        <v>45</v>
      </c>
      <c r="K135" s="2" t="s">
        <v>46</v>
      </c>
      <c r="L135" s="2" t="s">
        <v>47</v>
      </c>
      <c r="M135" s="8" t="s">
        <v>799</v>
      </c>
      <c r="O135" s="5" t="str">
        <f t="shared" si="1"/>
        <v>Hindustan-Chitrakoot
Link: https://www.livehindustan.com/uttar-pradesh/chitrakoot/news
RSS Link: https://feed.livehindustan.com/rss/1238035</v>
      </c>
    </row>
    <row r="136">
      <c r="A136" s="2" t="s">
        <v>2</v>
      </c>
      <c r="B136" s="2" t="s">
        <v>800</v>
      </c>
      <c r="C136" s="19" t="s">
        <v>801</v>
      </c>
      <c r="D136" s="2" t="s">
        <v>31</v>
      </c>
      <c r="E136" s="6" t="s">
        <v>211</v>
      </c>
      <c r="F136" s="2" t="s">
        <v>39</v>
      </c>
      <c r="G136" s="2" t="s">
        <v>21</v>
      </c>
      <c r="H136" s="2" t="s">
        <v>42</v>
      </c>
      <c r="I136" s="2" t="s">
        <v>43</v>
      </c>
      <c r="J136" s="2" t="s">
        <v>45</v>
      </c>
      <c r="K136" s="2" t="s">
        <v>46</v>
      </c>
      <c r="L136" s="2" t="s">
        <v>47</v>
      </c>
      <c r="M136" s="8" t="s">
        <v>802</v>
      </c>
      <c r="O136" s="5" t="str">
        <f t="shared" si="1"/>
        <v>Hindustan-Banda
Link: https://www.livehindustan.com/uttar-pradesh/banda/news
RSS Link: https://feed.livehindustan.com/rss/5079</v>
      </c>
    </row>
    <row r="137">
      <c r="A137" s="2" t="s">
        <v>2</v>
      </c>
      <c r="B137" s="2" t="s">
        <v>803</v>
      </c>
      <c r="C137" s="19" t="s">
        <v>804</v>
      </c>
      <c r="D137" s="2" t="s">
        <v>31</v>
      </c>
      <c r="E137" s="6" t="s">
        <v>95</v>
      </c>
      <c r="F137" s="2" t="s">
        <v>39</v>
      </c>
      <c r="G137" s="2" t="s">
        <v>21</v>
      </c>
      <c r="H137" s="2" t="s">
        <v>42</v>
      </c>
      <c r="I137" s="2" t="s">
        <v>43</v>
      </c>
      <c r="J137" s="2" t="s">
        <v>45</v>
      </c>
      <c r="K137" s="2" t="s">
        <v>46</v>
      </c>
      <c r="L137" s="2" t="s">
        <v>47</v>
      </c>
      <c r="M137" s="8" t="s">
        <v>805</v>
      </c>
      <c r="O137" s="5" t="str">
        <f t="shared" si="1"/>
        <v>Hindustan-Etawah
Link: https://www.livehindustan.com/uttar-pradesh/etawah/news
RSS Link: https://feed.livehindustan.com/rss/5080</v>
      </c>
    </row>
    <row r="138">
      <c r="A138" s="2" t="s">
        <v>2</v>
      </c>
      <c r="B138" s="2" t="s">
        <v>806</v>
      </c>
      <c r="C138" s="19" t="s">
        <v>807</v>
      </c>
      <c r="D138" s="2" t="s">
        <v>31</v>
      </c>
      <c r="E138" s="6" t="s">
        <v>322</v>
      </c>
      <c r="F138" s="2" t="s">
        <v>39</v>
      </c>
      <c r="G138" s="2" t="s">
        <v>21</v>
      </c>
      <c r="H138" s="2" t="s">
        <v>42</v>
      </c>
      <c r="I138" s="2" t="s">
        <v>43</v>
      </c>
      <c r="J138" s="2" t="s">
        <v>45</v>
      </c>
      <c r="K138" s="2" t="s">
        <v>46</v>
      </c>
      <c r="L138" s="2" t="s">
        <v>47</v>
      </c>
      <c r="M138" s="8" t="s">
        <v>808</v>
      </c>
      <c r="O138" s="5" t="str">
        <f t="shared" si="1"/>
        <v>Hindustan-Farrukhabad
Link: https://www.livehindustan.com/uttar-pradesh/farrukhabad/news
RSS Link: https://feed.livehindustan.com/rss/5081</v>
      </c>
    </row>
    <row r="139">
      <c r="A139" s="2" t="s">
        <v>2</v>
      </c>
      <c r="B139" s="2" t="s">
        <v>809</v>
      </c>
      <c r="C139" s="19" t="s">
        <v>810</v>
      </c>
      <c r="D139" s="2" t="s">
        <v>31</v>
      </c>
      <c r="E139" s="6" t="s">
        <v>190</v>
      </c>
      <c r="F139" s="2" t="s">
        <v>39</v>
      </c>
      <c r="G139" s="2" t="s">
        <v>21</v>
      </c>
      <c r="H139" s="2" t="s">
        <v>42</v>
      </c>
      <c r="I139" s="2" t="s">
        <v>43</v>
      </c>
      <c r="J139" s="2" t="s">
        <v>45</v>
      </c>
      <c r="K139" s="2" t="s">
        <v>46</v>
      </c>
      <c r="L139" s="2" t="s">
        <v>47</v>
      </c>
      <c r="M139" s="8" t="s">
        <v>811</v>
      </c>
      <c r="O139" s="5" t="str">
        <f t="shared" si="1"/>
        <v>Hindustan-Kannauj
Link: https://www.livehindustan.com/uttar-pradesh/kannauj/news
RSS Link: https://feed.livehindustan.com/rss/896320</v>
      </c>
    </row>
    <row r="140">
      <c r="A140" s="2" t="s">
        <v>2</v>
      </c>
      <c r="B140" s="2" t="s">
        <v>812</v>
      </c>
      <c r="C140" s="19" t="s">
        <v>813</v>
      </c>
      <c r="D140" s="2" t="s">
        <v>31</v>
      </c>
      <c r="E140" s="6" t="s">
        <v>222</v>
      </c>
      <c r="F140" s="2" t="s">
        <v>39</v>
      </c>
      <c r="G140" s="2" t="s">
        <v>21</v>
      </c>
      <c r="H140" s="2" t="s">
        <v>42</v>
      </c>
      <c r="I140" s="2" t="s">
        <v>43</v>
      </c>
      <c r="J140" s="2" t="s">
        <v>45</v>
      </c>
      <c r="K140" s="2" t="s">
        <v>46</v>
      </c>
      <c r="L140" s="2" t="s">
        <v>47</v>
      </c>
      <c r="M140" s="8" t="s">
        <v>814</v>
      </c>
      <c r="O140" s="5" t="str">
        <f t="shared" si="1"/>
        <v>Hindustan-Hamirpur
Link: https://www.livehindustan.com/uttar-pradesh/hamirpur/news
RSS Link: https://feed.livehindustan.com/rss/5082</v>
      </c>
    </row>
    <row r="141">
      <c r="A141" s="2" t="s">
        <v>2</v>
      </c>
      <c r="B141" s="2" t="s">
        <v>815</v>
      </c>
      <c r="C141" s="19" t="s">
        <v>816</v>
      </c>
      <c r="D141" s="2" t="s">
        <v>31</v>
      </c>
      <c r="E141" s="6" t="s">
        <v>338</v>
      </c>
      <c r="F141" s="2" t="s">
        <v>39</v>
      </c>
      <c r="G141" s="2" t="s">
        <v>21</v>
      </c>
      <c r="H141" s="2" t="s">
        <v>42</v>
      </c>
      <c r="I141" s="2" t="s">
        <v>43</v>
      </c>
      <c r="J141" s="2" t="s">
        <v>45</v>
      </c>
      <c r="K141" s="2" t="s">
        <v>46</v>
      </c>
      <c r="L141" s="2" t="s">
        <v>47</v>
      </c>
      <c r="M141" s="8" t="s">
        <v>817</v>
      </c>
      <c r="O141" s="5" t="str">
        <f t="shared" si="1"/>
        <v>Hindustan-Hardoi
Link: https://www.livehindustan.com/uttar-pradesh/hardoi/news
RSS Link: https://feed.livehindustan.com/rss/5083</v>
      </c>
    </row>
    <row r="142">
      <c r="A142" s="2" t="s">
        <v>2</v>
      </c>
      <c r="B142" s="2" t="s">
        <v>818</v>
      </c>
      <c r="C142" s="19" t="s">
        <v>819</v>
      </c>
      <c r="D142" s="2" t="s">
        <v>31</v>
      </c>
      <c r="E142" s="6" t="s">
        <v>301</v>
      </c>
      <c r="F142" s="2" t="s">
        <v>39</v>
      </c>
      <c r="G142" s="2" t="s">
        <v>21</v>
      </c>
      <c r="H142" s="2" t="s">
        <v>42</v>
      </c>
      <c r="I142" s="2" t="s">
        <v>43</v>
      </c>
      <c r="J142" s="2" t="s">
        <v>45</v>
      </c>
      <c r="K142" s="2" t="s">
        <v>46</v>
      </c>
      <c r="L142" s="2" t="s">
        <v>47</v>
      </c>
      <c r="M142" s="8" t="s">
        <v>820</v>
      </c>
      <c r="O142" s="5" t="str">
        <f t="shared" si="1"/>
        <v>Hindustan-Jhansi
Link: https://www.livehindustan.com/uttar-pradesh/jhansi/news
RSS Link: https://feed.livehindustan.com/rss/5084</v>
      </c>
    </row>
    <row r="143">
      <c r="A143" s="2" t="s">
        <v>2</v>
      </c>
      <c r="B143" s="2" t="s">
        <v>821</v>
      </c>
      <c r="C143" s="19" t="s">
        <v>822</v>
      </c>
      <c r="D143" s="2" t="s">
        <v>34</v>
      </c>
      <c r="E143" s="6" t="s">
        <v>823</v>
      </c>
      <c r="F143" s="2" t="s">
        <v>39</v>
      </c>
      <c r="G143" s="2" t="s">
        <v>21</v>
      </c>
      <c r="H143" s="2" t="s">
        <v>42</v>
      </c>
      <c r="I143" s="2" t="s">
        <v>43</v>
      </c>
      <c r="J143" s="2" t="s">
        <v>45</v>
      </c>
      <c r="K143" s="2" t="s">
        <v>46</v>
      </c>
      <c r="L143" s="2" t="s">
        <v>47</v>
      </c>
      <c r="M143" s="8" t="s">
        <v>824</v>
      </c>
      <c r="O143" s="5" t="str">
        <f t="shared" si="1"/>
        <v>Hindustan-Orai
Link: https://www.livehindustan.com/uttar-pradesh/orai/news
RSS Link: https://feed.livehindustan.com/rss/5085</v>
      </c>
    </row>
    <row r="144">
      <c r="A144" s="2" t="s">
        <v>2</v>
      </c>
      <c r="B144" s="2" t="s">
        <v>825</v>
      </c>
      <c r="C144" s="19" t="s">
        <v>826</v>
      </c>
      <c r="D144" s="2" t="s">
        <v>31</v>
      </c>
      <c r="E144" s="6" t="s">
        <v>161</v>
      </c>
      <c r="F144" s="2" t="s">
        <v>39</v>
      </c>
      <c r="G144" s="2" t="s">
        <v>21</v>
      </c>
      <c r="H144" s="2" t="s">
        <v>42</v>
      </c>
      <c r="I144" s="2" t="s">
        <v>43</v>
      </c>
      <c r="J144" s="2" t="s">
        <v>45</v>
      </c>
      <c r="K144" s="2" t="s">
        <v>46</v>
      </c>
      <c r="L144" s="2" t="s">
        <v>47</v>
      </c>
      <c r="M144" s="8" t="s">
        <v>827</v>
      </c>
      <c r="O144" s="5" t="str">
        <f t="shared" si="1"/>
        <v>Hindustan-Unnao
Link: https://www.livehindustan.com/uttar-pradesh/unnao/news
RSS Link: https://feed.livehindustan.com/rss/5087</v>
      </c>
    </row>
    <row r="145">
      <c r="A145" s="2" t="s">
        <v>2</v>
      </c>
      <c r="B145" s="2" t="s">
        <v>828</v>
      </c>
      <c r="C145" s="19" t="s">
        <v>829</v>
      </c>
      <c r="D145" s="2" t="s">
        <v>31</v>
      </c>
      <c r="E145" s="6" t="s">
        <v>101</v>
      </c>
      <c r="F145" s="2" t="s">
        <v>39</v>
      </c>
      <c r="G145" s="2" t="s">
        <v>21</v>
      </c>
      <c r="H145" s="2" t="s">
        <v>42</v>
      </c>
      <c r="I145" s="2" t="s">
        <v>43</v>
      </c>
      <c r="J145" s="2" t="s">
        <v>45</v>
      </c>
      <c r="K145" s="2" t="s">
        <v>46</v>
      </c>
      <c r="L145" s="2" t="s">
        <v>47</v>
      </c>
      <c r="M145" s="8" t="s">
        <v>830</v>
      </c>
      <c r="O145" s="5" t="str">
        <f t="shared" si="1"/>
        <v>Hindustan-Hathras
Link: https://www.livehindustan.com/uttar-pradesh/hathras/news
RSS Link: https://feed.livehindustan.com/rss/5088</v>
      </c>
    </row>
    <row r="146">
      <c r="A146" s="2" t="s">
        <v>2</v>
      </c>
      <c r="B146" s="2" t="s">
        <v>831</v>
      </c>
      <c r="C146" s="19" t="s">
        <v>832</v>
      </c>
      <c r="D146" s="2" t="s">
        <v>31</v>
      </c>
      <c r="E146" s="6" t="s">
        <v>84</v>
      </c>
      <c r="F146" s="2" t="s">
        <v>39</v>
      </c>
      <c r="G146" s="2" t="s">
        <v>21</v>
      </c>
      <c r="H146" s="2" t="s">
        <v>42</v>
      </c>
      <c r="I146" s="2" t="s">
        <v>43</v>
      </c>
      <c r="J146" s="2" t="s">
        <v>45</v>
      </c>
      <c r="K146" s="2" t="s">
        <v>46</v>
      </c>
      <c r="L146" s="2" t="s">
        <v>47</v>
      </c>
      <c r="M146" s="8" t="s">
        <v>833</v>
      </c>
      <c r="O146" s="5" t="str">
        <f t="shared" si="1"/>
        <v>Hindustan-Amroha
Link: https://www.livehindustan.com/uttar-pradesh/amroha/news
RSS Link: https://feed.livehindustan.com/rss/5090</v>
      </c>
    </row>
    <row r="147">
      <c r="A147" s="2" t="s">
        <v>2</v>
      </c>
      <c r="B147" s="2" t="s">
        <v>834</v>
      </c>
      <c r="C147" s="19" t="s">
        <v>835</v>
      </c>
      <c r="D147" s="2" t="s">
        <v>31</v>
      </c>
      <c r="E147" s="6" t="s">
        <v>441</v>
      </c>
      <c r="F147" s="2" t="s">
        <v>39</v>
      </c>
      <c r="G147" s="2" t="s">
        <v>21</v>
      </c>
      <c r="H147" s="2" t="s">
        <v>42</v>
      </c>
      <c r="I147" s="2" t="s">
        <v>43</v>
      </c>
      <c r="J147" s="2" t="s">
        <v>45</v>
      </c>
      <c r="K147" s="2" t="s">
        <v>46</v>
      </c>
      <c r="L147" s="2" t="s">
        <v>47</v>
      </c>
      <c r="M147" s="8" t="s">
        <v>836</v>
      </c>
      <c r="O147" s="5" t="str">
        <f t="shared" si="1"/>
        <v>Hindustan-Rampur
Link: https://www.livehindustan.com/uttar-pradesh/rampur/news
RSS Link: https://feed.livehindustan.com/rss/5091</v>
      </c>
    </row>
    <row r="148">
      <c r="A148" s="2" t="s">
        <v>2</v>
      </c>
      <c r="B148" s="2" t="s">
        <v>837</v>
      </c>
      <c r="C148" s="19" t="s">
        <v>838</v>
      </c>
      <c r="D148" s="2" t="s">
        <v>31</v>
      </c>
      <c r="E148" s="6" t="s">
        <v>445</v>
      </c>
      <c r="F148" s="2" t="s">
        <v>39</v>
      </c>
      <c r="G148" s="2" t="s">
        <v>21</v>
      </c>
      <c r="H148" s="2" t="s">
        <v>42</v>
      </c>
      <c r="I148" s="2" t="s">
        <v>43</v>
      </c>
      <c r="J148" s="2" t="s">
        <v>45</v>
      </c>
      <c r="K148" s="2" t="s">
        <v>46</v>
      </c>
      <c r="L148" s="2" t="s">
        <v>47</v>
      </c>
      <c r="M148" s="8" t="s">
        <v>839</v>
      </c>
      <c r="O148" s="5" t="str">
        <f t="shared" si="1"/>
        <v>Hindustan-Sambhal
Link: https://www.livehindustan.com/uttar-pradesh/sambhal/news
RSS Link: https://feed.livehindustan.com/rss/5092</v>
      </c>
    </row>
    <row r="149">
      <c r="A149" s="2" t="s">
        <v>2</v>
      </c>
      <c r="B149" s="2" t="s">
        <v>840</v>
      </c>
      <c r="C149" s="19" t="s">
        <v>841</v>
      </c>
      <c r="D149" s="2" t="s">
        <v>31</v>
      </c>
      <c r="E149" s="6" t="s">
        <v>842</v>
      </c>
      <c r="F149" s="2" t="s">
        <v>39</v>
      </c>
      <c r="G149" s="2" t="s">
        <v>21</v>
      </c>
      <c r="H149" s="2" t="s">
        <v>42</v>
      </c>
      <c r="I149" s="2" t="s">
        <v>43</v>
      </c>
      <c r="J149" s="2" t="s">
        <v>45</v>
      </c>
      <c r="K149" s="2" t="s">
        <v>46</v>
      </c>
      <c r="L149" s="2" t="s">
        <v>47</v>
      </c>
      <c r="M149" s="8" t="s">
        <v>843</v>
      </c>
      <c r="O149" s="5" t="str">
        <f t="shared" si="1"/>
        <v>Hindustan-Gangapar
Link: https://www.livehindustan.com/uttar-pradesh/gangapar/news
RSS Link: https://feed.livehindustan.com/rss/1238042</v>
      </c>
    </row>
    <row r="150">
      <c r="A150" s="2" t="s">
        <v>2</v>
      </c>
      <c r="B150" s="2" t="s">
        <v>844</v>
      </c>
      <c r="C150" s="19" t="s">
        <v>845</v>
      </c>
      <c r="D150" s="2" t="s">
        <v>31</v>
      </c>
      <c r="E150" s="6" t="s">
        <v>117</v>
      </c>
      <c r="F150" s="2" t="s">
        <v>39</v>
      </c>
      <c r="G150" s="2" t="s">
        <v>21</v>
      </c>
      <c r="H150" s="2" t="s">
        <v>42</v>
      </c>
      <c r="I150" s="2" t="s">
        <v>43</v>
      </c>
      <c r="J150" s="2" t="s">
        <v>45</v>
      </c>
      <c r="K150" s="2" t="s">
        <v>46</v>
      </c>
      <c r="L150" s="2" t="s">
        <v>47</v>
      </c>
      <c r="M150" s="8" t="s">
        <v>846</v>
      </c>
      <c r="O150" s="5" t="str">
        <f t="shared" si="1"/>
        <v>Hindustan-Kaushambi
Link: https://www.livehindustan.com/uttar-pradesh/kausambi/news
RSS Link: https://feed.livehindustan.com/rss/1238043</v>
      </c>
    </row>
    <row r="151">
      <c r="A151" s="2" t="s">
        <v>2</v>
      </c>
      <c r="B151" s="2" t="s">
        <v>847</v>
      </c>
      <c r="C151" s="8" t="s">
        <v>848</v>
      </c>
      <c r="D151" s="2" t="s">
        <v>34</v>
      </c>
      <c r="E151" s="2" t="s">
        <v>849</v>
      </c>
      <c r="F151" s="2" t="s">
        <v>39</v>
      </c>
      <c r="G151" s="2" t="s">
        <v>21</v>
      </c>
      <c r="H151" s="2" t="s">
        <v>42</v>
      </c>
      <c r="I151" s="2" t="s">
        <v>43</v>
      </c>
      <c r="J151" s="2" t="s">
        <v>45</v>
      </c>
      <c r="K151" s="2" t="s">
        <v>46</v>
      </c>
      <c r="L151" s="2" t="s">
        <v>47</v>
      </c>
      <c r="M151" s="8" t="s">
        <v>850</v>
      </c>
      <c r="O151" s="5" t="str">
        <f t="shared" si="1"/>
        <v>Hindustan-Pratapgarh - Kunda
Link: https://www.livehindustan.com/uttar-pradesh/pratapgarh-kunda/news
RSS Link: https://feed.livehindustan.com/rss/1238044</v>
      </c>
    </row>
    <row r="152">
      <c r="A152" s="2"/>
      <c r="B152" s="20" t="s">
        <v>851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2"/>
      <c r="O152" s="5" t="str">
        <f t="shared" si="1"/>
        <v/>
      </c>
    </row>
    <row r="153">
      <c r="A153" s="2" t="s">
        <v>2</v>
      </c>
      <c r="B153" s="6" t="s">
        <v>852</v>
      </c>
      <c r="C153" s="8" t="s">
        <v>18</v>
      </c>
      <c r="D153" s="2" t="s">
        <v>28</v>
      </c>
      <c r="E153" s="6" t="s">
        <v>0</v>
      </c>
      <c r="F153" s="2" t="s">
        <v>39</v>
      </c>
      <c r="G153" s="2" t="s">
        <v>21</v>
      </c>
      <c r="H153" s="2" t="s">
        <v>42</v>
      </c>
      <c r="I153" s="2" t="s">
        <v>43</v>
      </c>
      <c r="J153" s="2" t="s">
        <v>45</v>
      </c>
      <c r="K153" s="2" t="s">
        <v>46</v>
      </c>
      <c r="L153" s="2" t="s">
        <v>47</v>
      </c>
      <c r="M153" s="8" t="s">
        <v>15</v>
      </c>
      <c r="O153" s="5" t="str">
        <f t="shared" si="1"/>
        <v>Patrika Uttar Pradesh
Link: https://www.patrika.com/uttar-pradesh-news
RSS Link: https://cms.patrika.com/blog/location/uttar-pradesh-news/feed/</v>
      </c>
    </row>
    <row r="154">
      <c r="A154" s="2" t="s">
        <v>2</v>
      </c>
      <c r="B154" s="6" t="s">
        <v>853</v>
      </c>
      <c r="C154" s="8" t="s">
        <v>51</v>
      </c>
      <c r="D154" s="2" t="s">
        <v>31</v>
      </c>
      <c r="E154" s="6" t="s">
        <v>49</v>
      </c>
      <c r="F154" s="2" t="s">
        <v>39</v>
      </c>
      <c r="G154" s="2" t="s">
        <v>21</v>
      </c>
      <c r="H154" s="2" t="s">
        <v>42</v>
      </c>
      <c r="I154" s="2" t="s">
        <v>43</v>
      </c>
      <c r="J154" s="2" t="s">
        <v>45</v>
      </c>
      <c r="K154" s="2" t="s">
        <v>46</v>
      </c>
      <c r="L154" s="2" t="s">
        <v>47</v>
      </c>
      <c r="M154" s="8" t="s">
        <v>50</v>
      </c>
      <c r="O154" s="5" t="str">
        <f t="shared" si="1"/>
        <v>Patrika Agra
Link: https://www.patrika.com/agra-news
RSS Link: https://cms.patrika.com/blog/location/agra-news/feed/</v>
      </c>
    </row>
    <row r="155">
      <c r="A155" s="2" t="s">
        <v>2</v>
      </c>
      <c r="B155" s="6" t="s">
        <v>854</v>
      </c>
      <c r="C155" s="8" t="s">
        <v>58</v>
      </c>
      <c r="D155" s="2" t="s">
        <v>31</v>
      </c>
      <c r="E155" s="6" t="s">
        <v>56</v>
      </c>
      <c r="F155" s="2" t="s">
        <v>39</v>
      </c>
      <c r="G155" s="2" t="s">
        <v>21</v>
      </c>
      <c r="H155" s="2" t="s">
        <v>42</v>
      </c>
      <c r="I155" s="2" t="s">
        <v>43</v>
      </c>
      <c r="J155" s="2" t="s">
        <v>45</v>
      </c>
      <c r="K155" s="2" t="s">
        <v>46</v>
      </c>
      <c r="L155" s="2" t="s">
        <v>47</v>
      </c>
      <c r="M155" s="8" t="s">
        <v>57</v>
      </c>
      <c r="O155" s="5" t="str">
        <f t="shared" si="1"/>
        <v>Patrika Firozabad
Link: https://www.patrika.com/firozabad-news
RSS Link: https://cms.patrika.com/blog/location/firozabad-news/feed/</v>
      </c>
    </row>
    <row r="156">
      <c r="A156" s="2" t="s">
        <v>2</v>
      </c>
      <c r="B156" s="6" t="s">
        <v>855</v>
      </c>
      <c r="C156" s="8" t="s">
        <v>65</v>
      </c>
      <c r="D156" s="2" t="s">
        <v>31</v>
      </c>
      <c r="E156" s="6" t="s">
        <v>63</v>
      </c>
      <c r="F156" s="2" t="s">
        <v>39</v>
      </c>
      <c r="G156" s="2" t="s">
        <v>21</v>
      </c>
      <c r="H156" s="2" t="s">
        <v>42</v>
      </c>
      <c r="I156" s="2" t="s">
        <v>43</v>
      </c>
      <c r="J156" s="2" t="s">
        <v>45</v>
      </c>
      <c r="K156" s="2" t="s">
        <v>46</v>
      </c>
      <c r="L156" s="2" t="s">
        <v>47</v>
      </c>
      <c r="M156" s="8" t="s">
        <v>64</v>
      </c>
      <c r="O156" s="5" t="str">
        <f t="shared" si="1"/>
        <v>Patrika Mainpuri
Link: https://www.patrika.com/mainpuri-news
RSS Link: https://cms.patrika.com/blog/location/mainpuri-news/feed/</v>
      </c>
    </row>
    <row r="157">
      <c r="A157" s="2" t="s">
        <v>2</v>
      </c>
      <c r="B157" s="6" t="s">
        <v>856</v>
      </c>
      <c r="C157" s="8" t="s">
        <v>72</v>
      </c>
      <c r="D157" s="2" t="s">
        <v>31</v>
      </c>
      <c r="E157" s="6" t="s">
        <v>69</v>
      </c>
      <c r="F157" s="2" t="s">
        <v>39</v>
      </c>
      <c r="G157" s="2" t="s">
        <v>21</v>
      </c>
      <c r="H157" s="2" t="s">
        <v>42</v>
      </c>
      <c r="I157" s="2" t="s">
        <v>43</v>
      </c>
      <c r="J157" s="2" t="s">
        <v>45</v>
      </c>
      <c r="K157" s="2" t="s">
        <v>46</v>
      </c>
      <c r="L157" s="2" t="s">
        <v>47</v>
      </c>
      <c r="M157" s="8" t="s">
        <v>70</v>
      </c>
      <c r="O157" s="5" t="str">
        <f t="shared" si="1"/>
        <v>Patrika Mathura
Link: https://www.patrika.com/mathura-news
RSS Link: https://cms.patrika.com/blog/location/mathura-news/feed/</v>
      </c>
    </row>
    <row r="158">
      <c r="A158" s="2" t="s">
        <v>2</v>
      </c>
      <c r="B158" s="6" t="s">
        <v>857</v>
      </c>
      <c r="C158" s="8" t="s">
        <v>80</v>
      </c>
      <c r="D158" s="2" t="s">
        <v>31</v>
      </c>
      <c r="E158" s="6" t="s">
        <v>78</v>
      </c>
      <c r="F158" s="2" t="s">
        <v>39</v>
      </c>
      <c r="G158" s="2" t="s">
        <v>21</v>
      </c>
      <c r="H158" s="2" t="s">
        <v>42</v>
      </c>
      <c r="I158" s="2" t="s">
        <v>43</v>
      </c>
      <c r="J158" s="2" t="s">
        <v>45</v>
      </c>
      <c r="K158" s="2" t="s">
        <v>46</v>
      </c>
      <c r="L158" s="2" t="s">
        <v>47</v>
      </c>
      <c r="M158" s="8" t="s">
        <v>79</v>
      </c>
      <c r="O158" s="5" t="str">
        <f t="shared" si="1"/>
        <v>Patrika Aligarh
Link: https://www.patrika.com/aligarh-news
RSS Link: https://cms.patrika.com/blog/location/aligarh-news/feed/</v>
      </c>
    </row>
    <row r="159">
      <c r="A159" s="2" t="s">
        <v>2</v>
      </c>
      <c r="B159" s="6" t="s">
        <v>858</v>
      </c>
      <c r="C159" s="8" t="s">
        <v>88</v>
      </c>
      <c r="D159" s="2" t="s">
        <v>31</v>
      </c>
      <c r="E159" s="6" t="s">
        <v>86</v>
      </c>
      <c r="F159" s="2" t="s">
        <v>39</v>
      </c>
      <c r="G159" s="2" t="s">
        <v>21</v>
      </c>
      <c r="H159" s="2" t="s">
        <v>42</v>
      </c>
      <c r="I159" s="2" t="s">
        <v>43</v>
      </c>
      <c r="J159" s="2" t="s">
        <v>45</v>
      </c>
      <c r="K159" s="2" t="s">
        <v>46</v>
      </c>
      <c r="L159" s="2" t="s">
        <v>47</v>
      </c>
      <c r="M159" s="8" t="s">
        <v>87</v>
      </c>
      <c r="O159" s="5" t="str">
        <f t="shared" si="1"/>
        <v>Patrika Etah
Link: https://www.patrika.com/etah-news
RSS Link: https://cms.patrika.com/blog/location/etah-news/feed/</v>
      </c>
    </row>
    <row r="160">
      <c r="A160" s="2" t="s">
        <v>2</v>
      </c>
      <c r="B160" s="6" t="s">
        <v>859</v>
      </c>
      <c r="C160" s="8" t="s">
        <v>97</v>
      </c>
      <c r="D160" s="2" t="s">
        <v>31</v>
      </c>
      <c r="E160" s="6" t="s">
        <v>95</v>
      </c>
      <c r="F160" s="2" t="s">
        <v>39</v>
      </c>
      <c r="G160" s="2" t="s">
        <v>21</v>
      </c>
      <c r="H160" s="2" t="s">
        <v>42</v>
      </c>
      <c r="I160" s="2" t="s">
        <v>43</v>
      </c>
      <c r="J160" s="2" t="s">
        <v>45</v>
      </c>
      <c r="K160" s="2" t="s">
        <v>46</v>
      </c>
      <c r="L160" s="2" t="s">
        <v>47</v>
      </c>
      <c r="M160" s="8" t="s">
        <v>96</v>
      </c>
      <c r="O160" s="5" t="str">
        <f t="shared" si="1"/>
        <v>Patrika Etawah
Link: https://www.patrika.com/etawah-news
RSS Link: https://cms.patrika.com/blog/location/etawah-news/feed/</v>
      </c>
    </row>
    <row r="161">
      <c r="A161" s="2" t="s">
        <v>2</v>
      </c>
      <c r="B161" s="6" t="s">
        <v>860</v>
      </c>
      <c r="C161" s="8" t="s">
        <v>103</v>
      </c>
      <c r="D161" s="2" t="s">
        <v>31</v>
      </c>
      <c r="E161" s="6" t="s">
        <v>101</v>
      </c>
      <c r="F161" s="2" t="s">
        <v>39</v>
      </c>
      <c r="G161" s="2" t="s">
        <v>21</v>
      </c>
      <c r="H161" s="2" t="s">
        <v>42</v>
      </c>
      <c r="I161" s="2" t="s">
        <v>43</v>
      </c>
      <c r="J161" s="2" t="s">
        <v>45</v>
      </c>
      <c r="K161" s="2" t="s">
        <v>46</v>
      </c>
      <c r="L161" s="2" t="s">
        <v>47</v>
      </c>
      <c r="M161" s="8" t="s">
        <v>102</v>
      </c>
      <c r="O161" s="5" t="str">
        <f t="shared" si="1"/>
        <v>Patrika Hathras
Link: https://www.patrika.com/hathras-news
RSS Link: https://cms.patrika.com/blog/location/hathras-news/feed/</v>
      </c>
    </row>
    <row r="162">
      <c r="A162" s="2" t="s">
        <v>2</v>
      </c>
      <c r="B162" s="6" t="s">
        <v>861</v>
      </c>
      <c r="C162" s="8" t="s">
        <v>112</v>
      </c>
      <c r="D162" s="2" t="s">
        <v>31</v>
      </c>
      <c r="E162" s="6" t="s">
        <v>108</v>
      </c>
      <c r="F162" s="2" t="s">
        <v>39</v>
      </c>
      <c r="G162" s="2" t="s">
        <v>21</v>
      </c>
      <c r="H162" s="2" t="s">
        <v>42</v>
      </c>
      <c r="I162" s="2" t="s">
        <v>43</v>
      </c>
      <c r="J162" s="2" t="s">
        <v>45</v>
      </c>
      <c r="K162" s="2" t="s">
        <v>46</v>
      </c>
      <c r="L162" s="2" t="s">
        <v>47</v>
      </c>
      <c r="M162" s="8" t="s">
        <v>109</v>
      </c>
      <c r="O162" s="5" t="str">
        <f t="shared" si="1"/>
        <v>Patrika Kasganj
Link: https://www.patrika.com/kasganj-news
RSS Link: https://cms.patrika.com/blog/location/kasganj-news/feed/</v>
      </c>
    </row>
    <row r="163">
      <c r="A163" s="2" t="s">
        <v>2</v>
      </c>
      <c r="B163" s="6" t="s">
        <v>862</v>
      </c>
      <c r="C163" s="8" t="s">
        <v>120</v>
      </c>
      <c r="D163" s="2" t="s">
        <v>31</v>
      </c>
      <c r="E163" s="6" t="s">
        <v>117</v>
      </c>
      <c r="F163" s="2" t="s">
        <v>39</v>
      </c>
      <c r="G163" s="2" t="s">
        <v>21</v>
      </c>
      <c r="H163" s="2" t="s">
        <v>42</v>
      </c>
      <c r="I163" s="2" t="s">
        <v>43</v>
      </c>
      <c r="J163" s="2" t="s">
        <v>45</v>
      </c>
      <c r="K163" s="2" t="s">
        <v>46</v>
      </c>
      <c r="L163" s="2" t="s">
        <v>47</v>
      </c>
      <c r="M163" s="8" t="s">
        <v>119</v>
      </c>
      <c r="O163" s="5" t="str">
        <f t="shared" si="1"/>
        <v>Patrika Kaushambi
Link: https://www.patrika.com/kaushambi-news
RSS Link: https://cms.patrika.com/blog/location/kaushambi-news/feed/</v>
      </c>
    </row>
    <row r="164">
      <c r="A164" s="2" t="s">
        <v>2</v>
      </c>
      <c r="B164" s="6" t="s">
        <v>863</v>
      </c>
      <c r="C164" s="8" t="s">
        <v>126</v>
      </c>
      <c r="D164" s="2" t="s">
        <v>31</v>
      </c>
      <c r="E164" s="6" t="s">
        <v>124</v>
      </c>
      <c r="F164" s="2" t="s">
        <v>39</v>
      </c>
      <c r="G164" s="2" t="s">
        <v>21</v>
      </c>
      <c r="H164" s="2" t="s">
        <v>42</v>
      </c>
      <c r="I164" s="2" t="s">
        <v>43</v>
      </c>
      <c r="J164" s="2" t="s">
        <v>45</v>
      </c>
      <c r="K164" s="2" t="s">
        <v>46</v>
      </c>
      <c r="L164" s="2" t="s">
        <v>47</v>
      </c>
      <c r="M164" s="8" t="s">
        <v>125</v>
      </c>
      <c r="O164" s="5" t="str">
        <f t="shared" si="1"/>
        <v>Patrika Prayagraj
Link: https://www.patrika.com/prayagraj-news
RSS Link: https://cms.patrika.com/blog/location/prayagraj/feed/</v>
      </c>
    </row>
    <row r="165">
      <c r="A165" s="2" t="s">
        <v>2</v>
      </c>
      <c r="B165" s="6" t="s">
        <v>864</v>
      </c>
      <c r="C165" s="8" t="s">
        <v>132</v>
      </c>
      <c r="D165" s="2" t="s">
        <v>31</v>
      </c>
      <c r="E165" s="6" t="s">
        <v>130</v>
      </c>
      <c r="F165" s="2" t="s">
        <v>39</v>
      </c>
      <c r="G165" s="2" t="s">
        <v>21</v>
      </c>
      <c r="H165" s="2" t="s">
        <v>42</v>
      </c>
      <c r="I165" s="2" t="s">
        <v>43</v>
      </c>
      <c r="J165" s="2" t="s">
        <v>45</v>
      </c>
      <c r="K165" s="2" t="s">
        <v>46</v>
      </c>
      <c r="L165" s="2" t="s">
        <v>47</v>
      </c>
      <c r="M165" s="8" t="s">
        <v>131</v>
      </c>
      <c r="O165" s="5" t="str">
        <f t="shared" si="1"/>
        <v>Patrika Fatehpur
Link: https://www.patrika.com/fatehpur-news
RSS Link: https://cms.patrika.com/blog/location/fatehpur-news/feed/</v>
      </c>
    </row>
    <row r="166">
      <c r="A166" s="2" t="s">
        <v>2</v>
      </c>
      <c r="B166" s="6" t="s">
        <v>865</v>
      </c>
      <c r="C166" s="8" t="s">
        <v>138</v>
      </c>
      <c r="D166" s="2" t="s">
        <v>31</v>
      </c>
      <c r="E166" s="6" t="s">
        <v>136</v>
      </c>
      <c r="F166" s="2" t="s">
        <v>39</v>
      </c>
      <c r="G166" s="2" t="s">
        <v>21</v>
      </c>
      <c r="H166" s="2" t="s">
        <v>42</v>
      </c>
      <c r="I166" s="2" t="s">
        <v>43</v>
      </c>
      <c r="J166" s="2" t="s">
        <v>45</v>
      </c>
      <c r="K166" s="2" t="s">
        <v>46</v>
      </c>
      <c r="L166" s="2" t="s">
        <v>47</v>
      </c>
      <c r="M166" s="8" t="s">
        <v>137</v>
      </c>
      <c r="O166" s="5" t="str">
        <f t="shared" si="1"/>
        <v>Patrika Pratapgarh
Link: https://www.patrika.com/pratapgarh-news
RSS Link: https://cms.patrika.com/blog/location/pratapgarh-up-news/feed/</v>
      </c>
    </row>
    <row r="167">
      <c r="A167" s="2" t="s">
        <v>2</v>
      </c>
      <c r="B167" s="6" t="s">
        <v>866</v>
      </c>
      <c r="C167" s="8" t="s">
        <v>144</v>
      </c>
      <c r="D167" s="2" t="s">
        <v>31</v>
      </c>
      <c r="E167" s="6" t="s">
        <v>142</v>
      </c>
      <c r="F167" s="2" t="s">
        <v>39</v>
      </c>
      <c r="G167" s="2" t="s">
        <v>21</v>
      </c>
      <c r="H167" s="2" t="s">
        <v>42</v>
      </c>
      <c r="I167" s="2" t="s">
        <v>43</v>
      </c>
      <c r="J167" s="2" t="s">
        <v>45</v>
      </c>
      <c r="K167" s="2" t="s">
        <v>46</v>
      </c>
      <c r="L167" s="2" t="s">
        <v>47</v>
      </c>
      <c r="M167" s="8" t="s">
        <v>143</v>
      </c>
      <c r="O167" s="5" t="str">
        <f t="shared" si="1"/>
        <v>Patrika Azamgarh
Link: https://www.patrika.com/azamgarh-news
RSS Link: https://cms.patrika.com/blog/location/azamgarh-news/feed/</v>
      </c>
    </row>
    <row r="168">
      <c r="A168" s="2" t="s">
        <v>2</v>
      </c>
      <c r="B168" s="6" t="s">
        <v>867</v>
      </c>
      <c r="C168" s="8" t="s">
        <v>152</v>
      </c>
      <c r="D168" s="2" t="s">
        <v>31</v>
      </c>
      <c r="E168" s="6" t="s">
        <v>148</v>
      </c>
      <c r="F168" s="2" t="s">
        <v>39</v>
      </c>
      <c r="G168" s="2" t="s">
        <v>21</v>
      </c>
      <c r="H168" s="2" t="s">
        <v>42</v>
      </c>
      <c r="I168" s="2" t="s">
        <v>43</v>
      </c>
      <c r="J168" s="2" t="s">
        <v>45</v>
      </c>
      <c r="K168" s="2" t="s">
        <v>46</v>
      </c>
      <c r="L168" s="2" t="s">
        <v>47</v>
      </c>
      <c r="M168" s="8" t="s">
        <v>150</v>
      </c>
      <c r="O168" s="5" t="str">
        <f t="shared" si="1"/>
        <v>Patrika Ballia
Link: https://www.patrika.com/ballia-news
RSS Link: https://cms.patrika.com/blog/location/ballia-news/feed/</v>
      </c>
    </row>
    <row r="169">
      <c r="A169" s="2" t="s">
        <v>2</v>
      </c>
      <c r="B169" s="6" t="s">
        <v>868</v>
      </c>
      <c r="C169" s="8" t="s">
        <v>158</v>
      </c>
      <c r="D169" s="2" t="s">
        <v>31</v>
      </c>
      <c r="E169" s="6" t="s">
        <v>155</v>
      </c>
      <c r="F169" s="2" t="s">
        <v>39</v>
      </c>
      <c r="G169" s="2" t="s">
        <v>21</v>
      </c>
      <c r="H169" s="2" t="s">
        <v>42</v>
      </c>
      <c r="I169" s="2" t="s">
        <v>43</v>
      </c>
      <c r="J169" s="2" t="s">
        <v>45</v>
      </c>
      <c r="K169" s="2" t="s">
        <v>46</v>
      </c>
      <c r="L169" s="2" t="s">
        <v>47</v>
      </c>
      <c r="M169" s="8" t="s">
        <v>156</v>
      </c>
      <c r="O169" s="5" t="str">
        <f t="shared" si="1"/>
        <v>Patrika Mau
Link: https://www.patrika.com/mau-news
RSS Link: https://cms.patrika.com/blog/location/mau-news/feed/</v>
      </c>
    </row>
    <row r="170">
      <c r="A170" s="2" t="s">
        <v>2</v>
      </c>
      <c r="B170" s="6" t="s">
        <v>869</v>
      </c>
      <c r="C170" s="8" t="s">
        <v>166</v>
      </c>
      <c r="D170" s="2" t="s">
        <v>31</v>
      </c>
      <c r="E170" s="6" t="s">
        <v>164</v>
      </c>
      <c r="F170" s="2" t="s">
        <v>39</v>
      </c>
      <c r="G170" s="2" t="s">
        <v>21</v>
      </c>
      <c r="H170" s="2" t="s">
        <v>42</v>
      </c>
      <c r="I170" s="2" t="s">
        <v>43</v>
      </c>
      <c r="J170" s="2" t="s">
        <v>45</v>
      </c>
      <c r="K170" s="2" t="s">
        <v>46</v>
      </c>
      <c r="L170" s="2" t="s">
        <v>47</v>
      </c>
      <c r="M170" s="8" t="s">
        <v>165</v>
      </c>
      <c r="O170" s="5" t="str">
        <f t="shared" si="1"/>
        <v>Patrika Bareilly
Link: https://www.patrika.com/bareilly-news
RSS Link: https://cms.patrika.com/blog/location/bareilly-news/feed/</v>
      </c>
    </row>
    <row r="171">
      <c r="A171" s="2" t="s">
        <v>2</v>
      </c>
      <c r="B171" s="6" t="s">
        <v>870</v>
      </c>
      <c r="C171" s="8" t="s">
        <v>172</v>
      </c>
      <c r="D171" s="2" t="s">
        <v>31</v>
      </c>
      <c r="E171" s="6" t="s">
        <v>170</v>
      </c>
      <c r="F171" s="2" t="s">
        <v>39</v>
      </c>
      <c r="G171" s="2" t="s">
        <v>21</v>
      </c>
      <c r="H171" s="2" t="s">
        <v>42</v>
      </c>
      <c r="I171" s="2" t="s">
        <v>43</v>
      </c>
      <c r="J171" s="2" t="s">
        <v>45</v>
      </c>
      <c r="K171" s="2" t="s">
        <v>46</v>
      </c>
      <c r="L171" s="2" t="s">
        <v>47</v>
      </c>
      <c r="M171" s="8" t="s">
        <v>171</v>
      </c>
      <c r="O171" s="5" t="str">
        <f t="shared" si="1"/>
        <v>Patrika Budaun
Link: https://www.patrika.com/budaun-news
RSS Link: https://cms.patrika.com/blog/location/budaun-news/feed/</v>
      </c>
    </row>
    <row r="172">
      <c r="A172" s="2" t="s">
        <v>2</v>
      </c>
      <c r="B172" s="6" t="s">
        <v>871</v>
      </c>
      <c r="C172" s="8" t="s">
        <v>180</v>
      </c>
      <c r="D172" s="2" t="s">
        <v>31</v>
      </c>
      <c r="E172" s="6" t="s">
        <v>178</v>
      </c>
      <c r="F172" s="2" t="s">
        <v>39</v>
      </c>
      <c r="G172" s="2" t="s">
        <v>21</v>
      </c>
      <c r="H172" s="2" t="s">
        <v>42</v>
      </c>
      <c r="I172" s="2" t="s">
        <v>43</v>
      </c>
      <c r="J172" s="2" t="s">
        <v>45</v>
      </c>
      <c r="K172" s="2" t="s">
        <v>46</v>
      </c>
      <c r="L172" s="2" t="s">
        <v>47</v>
      </c>
      <c r="M172" s="8" t="s">
        <v>179</v>
      </c>
      <c r="O172" s="5" t="str">
        <f t="shared" si="1"/>
        <v>Patrika Pilibhit
Link: https://www.patrika.com/pilibhit-news
RSS Link: https://cms.patrika.com/blog/location/pilibhit-news/feed/</v>
      </c>
    </row>
    <row r="173">
      <c r="A173" s="2" t="s">
        <v>2</v>
      </c>
      <c r="B173" s="6" t="s">
        <v>872</v>
      </c>
      <c r="C173" s="8" t="s">
        <v>187</v>
      </c>
      <c r="D173" s="2" t="s">
        <v>31</v>
      </c>
      <c r="E173" s="6" t="s">
        <v>184</v>
      </c>
      <c r="F173" s="2" t="s">
        <v>39</v>
      </c>
      <c r="G173" s="2" t="s">
        <v>21</v>
      </c>
      <c r="H173" s="2" t="s">
        <v>42</v>
      </c>
      <c r="I173" s="2" t="s">
        <v>43</v>
      </c>
      <c r="J173" s="2" t="s">
        <v>45</v>
      </c>
      <c r="K173" s="2" t="s">
        <v>46</v>
      </c>
      <c r="L173" s="2" t="s">
        <v>47</v>
      </c>
      <c r="M173" s="8" t="s">
        <v>185</v>
      </c>
      <c r="O173" s="5" t="str">
        <f t="shared" si="1"/>
        <v>Patrika Shahjahanpur
Link: https://www.patrika.com/shahjahanpur-news
RSS Link: https://cms.patrika.com/blog/location/shahjahanpur-news/feed/</v>
      </c>
    </row>
    <row r="174">
      <c r="A174" s="2" t="s">
        <v>2</v>
      </c>
      <c r="B174" s="6" t="s">
        <v>873</v>
      </c>
      <c r="C174" s="8" t="s">
        <v>195</v>
      </c>
      <c r="D174" s="2" t="s">
        <v>31</v>
      </c>
      <c r="E174" s="6" t="s">
        <v>193</v>
      </c>
      <c r="F174" s="2" t="s">
        <v>39</v>
      </c>
      <c r="G174" s="2" t="s">
        <v>21</v>
      </c>
      <c r="H174" s="2" t="s">
        <v>42</v>
      </c>
      <c r="I174" s="2" t="s">
        <v>43</v>
      </c>
      <c r="J174" s="2" t="s">
        <v>45</v>
      </c>
      <c r="K174" s="2" t="s">
        <v>46</v>
      </c>
      <c r="L174" s="2" t="s">
        <v>47</v>
      </c>
      <c r="M174" s="8" t="s">
        <v>194</v>
      </c>
      <c r="O174" s="5" t="str">
        <f t="shared" si="1"/>
        <v>Patrika Basti
Link: https://www.patrika.com/basti-news
RSS Link: https://cms.patrika.com/blog/location/basti-news/feed/</v>
      </c>
    </row>
    <row r="175">
      <c r="A175" s="2" t="s">
        <v>2</v>
      </c>
      <c r="B175" s="6" t="s">
        <v>874</v>
      </c>
      <c r="C175" s="8" t="s">
        <v>202</v>
      </c>
      <c r="D175" s="2" t="s">
        <v>31</v>
      </c>
      <c r="E175" s="6" t="s">
        <v>200</v>
      </c>
      <c r="F175" s="2" t="s">
        <v>39</v>
      </c>
      <c r="G175" s="2" t="s">
        <v>21</v>
      </c>
      <c r="H175" s="2" t="s">
        <v>42</v>
      </c>
      <c r="I175" s="2" t="s">
        <v>43</v>
      </c>
      <c r="J175" s="2" t="s">
        <v>45</v>
      </c>
      <c r="K175" s="2" t="s">
        <v>46</v>
      </c>
      <c r="L175" s="2" t="s">
        <v>47</v>
      </c>
      <c r="M175" s="8" t="s">
        <v>201</v>
      </c>
      <c r="O175" s="5" t="str">
        <f t="shared" si="1"/>
        <v>Patrika Sant Kabir Nagar
Link: https://www.patrika.com/sant-kabir-nagar-news
RSS Link: https://cms.patrika.com/blog/location/sant-kabir-nagar-news/feed/</v>
      </c>
    </row>
    <row r="176">
      <c r="A176" s="2" t="s">
        <v>2</v>
      </c>
      <c r="B176" s="6" t="s">
        <v>875</v>
      </c>
      <c r="C176" s="8" t="s">
        <v>209</v>
      </c>
      <c r="D176" s="2" t="s">
        <v>31</v>
      </c>
      <c r="E176" s="6" t="s">
        <v>207</v>
      </c>
      <c r="F176" s="2" t="s">
        <v>39</v>
      </c>
      <c r="G176" s="2" t="s">
        <v>21</v>
      </c>
      <c r="H176" s="2" t="s">
        <v>42</v>
      </c>
      <c r="I176" s="2" t="s">
        <v>43</v>
      </c>
      <c r="J176" s="2" t="s">
        <v>45</v>
      </c>
      <c r="K176" s="2" t="s">
        <v>46</v>
      </c>
      <c r="L176" s="2" t="s">
        <v>47</v>
      </c>
      <c r="M176" s="8" t="s">
        <v>208</v>
      </c>
      <c r="O176" s="5" t="str">
        <f t="shared" si="1"/>
        <v>Patrika Sidharthnagar
Link: https://www.patrika.com/sidharthnagar-news
RSS Link: https://cms.patrika.com/blog/location/sidharthnagar-news/feed/</v>
      </c>
    </row>
    <row r="177">
      <c r="A177" s="2" t="s">
        <v>2</v>
      </c>
      <c r="B177" s="6" t="s">
        <v>876</v>
      </c>
      <c r="C177" s="8" t="s">
        <v>214</v>
      </c>
      <c r="D177" s="2" t="s">
        <v>31</v>
      </c>
      <c r="E177" s="6" t="s">
        <v>211</v>
      </c>
      <c r="F177" s="2" t="s">
        <v>39</v>
      </c>
      <c r="G177" s="2" t="s">
        <v>21</v>
      </c>
      <c r="H177" s="2" t="s">
        <v>42</v>
      </c>
      <c r="I177" s="2" t="s">
        <v>43</v>
      </c>
      <c r="J177" s="2" t="s">
        <v>45</v>
      </c>
      <c r="K177" s="2" t="s">
        <v>46</v>
      </c>
      <c r="L177" s="2" t="s">
        <v>47</v>
      </c>
      <c r="M177" s="8" t="s">
        <v>213</v>
      </c>
      <c r="O177" s="5" t="str">
        <f t="shared" si="1"/>
        <v>Patrika Banda
Link: https://www.patrika.com/banda-news
RSS Link: https://cms.patrika.com/blog/location/banda-news/feed/</v>
      </c>
    </row>
    <row r="178">
      <c r="A178" s="2" t="s">
        <v>2</v>
      </c>
      <c r="B178" s="6" t="s">
        <v>877</v>
      </c>
      <c r="C178" s="8" t="s">
        <v>220</v>
      </c>
      <c r="D178" s="2" t="s">
        <v>31</v>
      </c>
      <c r="E178" s="6" t="s">
        <v>218</v>
      </c>
      <c r="F178" s="2" t="s">
        <v>39</v>
      </c>
      <c r="G178" s="2" t="s">
        <v>21</v>
      </c>
      <c r="H178" s="2" t="s">
        <v>42</v>
      </c>
      <c r="I178" s="2" t="s">
        <v>43</v>
      </c>
      <c r="J178" s="2" t="s">
        <v>45</v>
      </c>
      <c r="K178" s="2" t="s">
        <v>46</v>
      </c>
      <c r="L178" s="2" t="s">
        <v>47</v>
      </c>
      <c r="M178" s="8" t="s">
        <v>219</v>
      </c>
      <c r="O178" s="5" t="str">
        <f t="shared" si="1"/>
        <v>Patrika Chitrakoot
Link: https://www.patrika.com/chitrakoot-news
RSS Link: https://cms.patrika.com/blog/location/chitrakoot-news/feed/</v>
      </c>
    </row>
    <row r="179">
      <c r="A179" s="2" t="s">
        <v>2</v>
      </c>
      <c r="B179" s="6" t="s">
        <v>878</v>
      </c>
      <c r="C179" s="8" t="s">
        <v>224</v>
      </c>
      <c r="D179" s="2" t="s">
        <v>31</v>
      </c>
      <c r="E179" s="6" t="s">
        <v>222</v>
      </c>
      <c r="F179" s="2" t="s">
        <v>39</v>
      </c>
      <c r="G179" s="2" t="s">
        <v>21</v>
      </c>
      <c r="H179" s="2" t="s">
        <v>42</v>
      </c>
      <c r="I179" s="2" t="s">
        <v>43</v>
      </c>
      <c r="J179" s="2" t="s">
        <v>45</v>
      </c>
      <c r="K179" s="2" t="s">
        <v>46</v>
      </c>
      <c r="L179" s="2" t="s">
        <v>47</v>
      </c>
      <c r="M179" s="8" t="s">
        <v>223</v>
      </c>
      <c r="O179" s="5" t="str">
        <f t="shared" si="1"/>
        <v>Patrika Hamirpur
Link: https://www.patrika.com/hamirpur-news
RSS Link: https://cms.patrika.com/blog/location/hamirpur-news/feed/</v>
      </c>
    </row>
    <row r="180">
      <c r="A180" s="2" t="s">
        <v>2</v>
      </c>
      <c r="B180" s="6" t="s">
        <v>879</v>
      </c>
      <c r="C180" s="8" t="s">
        <v>230</v>
      </c>
      <c r="D180" s="2" t="s">
        <v>31</v>
      </c>
      <c r="E180" s="6" t="s">
        <v>228</v>
      </c>
      <c r="F180" s="2" t="s">
        <v>39</v>
      </c>
      <c r="G180" s="2" t="s">
        <v>21</v>
      </c>
      <c r="H180" s="2" t="s">
        <v>42</v>
      </c>
      <c r="I180" s="2" t="s">
        <v>43</v>
      </c>
      <c r="J180" s="2" t="s">
        <v>45</v>
      </c>
      <c r="K180" s="2" t="s">
        <v>46</v>
      </c>
      <c r="L180" s="2" t="s">
        <v>47</v>
      </c>
      <c r="M180" s="8" t="s">
        <v>229</v>
      </c>
      <c r="O180" s="5" t="str">
        <f t="shared" si="1"/>
        <v>Patrika Mahoba
Link: https://www.patrika.com/mahoba-news
RSS Link: https://cms.patrika.com/blog/location/mahoba-news/feed/</v>
      </c>
    </row>
    <row r="181">
      <c r="A181" s="2" t="s">
        <v>2</v>
      </c>
      <c r="B181" s="6" t="s">
        <v>880</v>
      </c>
      <c r="C181" s="8" t="s">
        <v>235</v>
      </c>
      <c r="D181" s="2" t="s">
        <v>31</v>
      </c>
      <c r="E181" s="6" t="s">
        <v>233</v>
      </c>
      <c r="F181" s="2" t="s">
        <v>39</v>
      </c>
      <c r="G181" s="2" t="s">
        <v>21</v>
      </c>
      <c r="H181" s="2" t="s">
        <v>42</v>
      </c>
      <c r="I181" s="2" t="s">
        <v>43</v>
      </c>
      <c r="J181" s="2" t="s">
        <v>45</v>
      </c>
      <c r="K181" s="2" t="s">
        <v>46</v>
      </c>
      <c r="L181" s="2" t="s">
        <v>47</v>
      </c>
      <c r="M181" s="8" t="s">
        <v>234</v>
      </c>
      <c r="O181" s="5" t="str">
        <f t="shared" si="1"/>
        <v>Patrika Bahraich
Link: https://www.patrika.com/bahraich-news
RSS Link: https://cms.patrika.com/blog/location/bahraich-news/feed/</v>
      </c>
    </row>
    <row r="182">
      <c r="A182" s="2" t="s">
        <v>2</v>
      </c>
      <c r="B182" s="6" t="s">
        <v>881</v>
      </c>
      <c r="C182" s="8" t="s">
        <v>243</v>
      </c>
      <c r="D182" s="2" t="s">
        <v>31</v>
      </c>
      <c r="E182" s="6" t="s">
        <v>240</v>
      </c>
      <c r="F182" s="2" t="s">
        <v>39</v>
      </c>
      <c r="G182" s="2" t="s">
        <v>21</v>
      </c>
      <c r="H182" s="2" t="s">
        <v>42</v>
      </c>
      <c r="I182" s="2" t="s">
        <v>43</v>
      </c>
      <c r="J182" s="2" t="s">
        <v>45</v>
      </c>
      <c r="K182" s="2" t="s">
        <v>46</v>
      </c>
      <c r="L182" s="2" t="s">
        <v>47</v>
      </c>
      <c r="M182" s="8" t="s">
        <v>242</v>
      </c>
      <c r="O182" s="5" t="str">
        <f t="shared" si="1"/>
        <v>Patrika Balrampur
Link: https://www.patrika.com/balrampur-news
RSS Link: https://cms.patrika.com/blog/location/balrampur-up-news/feed/</v>
      </c>
    </row>
    <row r="183">
      <c r="A183" s="2" t="s">
        <v>2</v>
      </c>
      <c r="B183" s="6" t="s">
        <v>882</v>
      </c>
      <c r="C183" s="8" t="s">
        <v>247</v>
      </c>
      <c r="D183" s="2" t="s">
        <v>31</v>
      </c>
      <c r="E183" s="6" t="s">
        <v>238</v>
      </c>
      <c r="F183" s="2" t="s">
        <v>39</v>
      </c>
      <c r="G183" s="2" t="s">
        <v>21</v>
      </c>
      <c r="H183" s="2" t="s">
        <v>42</v>
      </c>
      <c r="I183" s="2" t="s">
        <v>43</v>
      </c>
      <c r="J183" s="2" t="s">
        <v>45</v>
      </c>
      <c r="K183" s="2" t="s">
        <v>46</v>
      </c>
      <c r="L183" s="2" t="s">
        <v>47</v>
      </c>
      <c r="M183" s="8" t="s">
        <v>246</v>
      </c>
      <c r="O183" s="5" t="str">
        <f t="shared" si="1"/>
        <v>Patrika Gonda
Link: https://www.patrika.com/gonda-news
RSS Link: https://cms.patrika.com/blog/location/gonda-news/feed/</v>
      </c>
    </row>
    <row r="184">
      <c r="A184" s="2" t="s">
        <v>2</v>
      </c>
      <c r="B184" s="6" t="s">
        <v>883</v>
      </c>
      <c r="C184" s="8" t="s">
        <v>253</v>
      </c>
      <c r="D184" s="2" t="s">
        <v>31</v>
      </c>
      <c r="E184" s="6" t="s">
        <v>251</v>
      </c>
      <c r="F184" s="2" t="s">
        <v>39</v>
      </c>
      <c r="G184" s="2" t="s">
        <v>21</v>
      </c>
      <c r="H184" s="2" t="s">
        <v>42</v>
      </c>
      <c r="I184" s="2" t="s">
        <v>43</v>
      </c>
      <c r="J184" s="2" t="s">
        <v>45</v>
      </c>
      <c r="K184" s="2" t="s">
        <v>46</v>
      </c>
      <c r="L184" s="2" t="s">
        <v>47</v>
      </c>
      <c r="M184" s="8" t="s">
        <v>252</v>
      </c>
      <c r="O184" s="5" t="str">
        <f t="shared" si="1"/>
        <v>Patrika Shravasti
Link: https://www.patrika.com/shravasti-news
RSS Link: https://cms.patrika.com/blog/location/shravasti-news/feed/</v>
      </c>
    </row>
    <row r="185">
      <c r="A185" s="2" t="s">
        <v>2</v>
      </c>
      <c r="B185" s="6" t="s">
        <v>884</v>
      </c>
      <c r="C185" s="8" t="s">
        <v>257</v>
      </c>
      <c r="D185" s="2" t="s">
        <v>31</v>
      </c>
      <c r="E185" s="6" t="s">
        <v>104</v>
      </c>
      <c r="F185" s="2" t="s">
        <v>39</v>
      </c>
      <c r="G185" s="2" t="s">
        <v>21</v>
      </c>
      <c r="H185" s="2" t="s">
        <v>42</v>
      </c>
      <c r="I185" s="2" t="s">
        <v>43</v>
      </c>
      <c r="J185" s="2" t="s">
        <v>45</v>
      </c>
      <c r="K185" s="2" t="s">
        <v>46</v>
      </c>
      <c r="L185" s="2" t="s">
        <v>47</v>
      </c>
      <c r="M185" s="8" t="s">
        <v>256</v>
      </c>
      <c r="O185" s="5" t="str">
        <f t="shared" si="1"/>
        <v>Patrika Ambedkar Nagar
Link: https://www.patrika.com/ambedkar-nagar-news
RSS Link: https://cms.patrika.com/blog/location/ambedkar-nagar-news/feed/</v>
      </c>
    </row>
    <row r="186">
      <c r="A186" s="2" t="s">
        <v>2</v>
      </c>
      <c r="B186" s="6" t="s">
        <v>885</v>
      </c>
      <c r="C186" s="8" t="s">
        <v>262</v>
      </c>
      <c r="D186" s="2" t="s">
        <v>31</v>
      </c>
      <c r="E186" s="6" t="s">
        <v>92</v>
      </c>
      <c r="F186" s="2" t="s">
        <v>39</v>
      </c>
      <c r="G186" s="2" t="s">
        <v>21</v>
      </c>
      <c r="H186" s="2" t="s">
        <v>42</v>
      </c>
      <c r="I186" s="2" t="s">
        <v>43</v>
      </c>
      <c r="J186" s="2" t="s">
        <v>45</v>
      </c>
      <c r="K186" s="2" t="s">
        <v>46</v>
      </c>
      <c r="L186" s="2" t="s">
        <v>47</v>
      </c>
      <c r="M186" s="8" t="s">
        <v>261</v>
      </c>
      <c r="O186" s="5" t="str">
        <f t="shared" si="1"/>
        <v>Patrika Amethi
Link: https://www.patrika.com/amethi-news
RSS Link: https://cms.patrika.com/blog/location/amethi-news/feed/</v>
      </c>
    </row>
    <row r="187">
      <c r="A187" s="2" t="s">
        <v>2</v>
      </c>
      <c r="B187" s="6" t="s">
        <v>886</v>
      </c>
      <c r="C187" s="8" t="s">
        <v>267</v>
      </c>
      <c r="D187" s="2" t="s">
        <v>31</v>
      </c>
      <c r="E187" s="6" t="s">
        <v>265</v>
      </c>
      <c r="F187" s="2" t="s">
        <v>39</v>
      </c>
      <c r="G187" s="2" t="s">
        <v>21</v>
      </c>
      <c r="H187" s="2" t="s">
        <v>42</v>
      </c>
      <c r="I187" s="2" t="s">
        <v>43</v>
      </c>
      <c r="J187" s="2" t="s">
        <v>45</v>
      </c>
      <c r="K187" s="2" t="s">
        <v>46</v>
      </c>
      <c r="L187" s="2" t="s">
        <v>47</v>
      </c>
      <c r="M187" s="8" t="s">
        <v>266</v>
      </c>
      <c r="O187" s="5" t="str">
        <f t="shared" si="1"/>
        <v>Patrika Ayodhya
Link: https://www.patrika.com/ayodhya-news
RSS Link: https://cms.patrika.com/blog/location/ayodhya-news/feed/</v>
      </c>
    </row>
    <row r="188">
      <c r="A188" s="2" t="s">
        <v>2</v>
      </c>
      <c r="B188" s="6" t="s">
        <v>887</v>
      </c>
      <c r="C188" s="8" t="s">
        <v>272</v>
      </c>
      <c r="D188" s="2" t="s">
        <v>31</v>
      </c>
      <c r="E188" s="6" t="s">
        <v>270</v>
      </c>
      <c r="F188" s="2" t="s">
        <v>39</v>
      </c>
      <c r="G188" s="2" t="s">
        <v>21</v>
      </c>
      <c r="H188" s="2" t="s">
        <v>42</v>
      </c>
      <c r="I188" s="2" t="s">
        <v>43</v>
      </c>
      <c r="J188" s="2" t="s">
        <v>45</v>
      </c>
      <c r="K188" s="2" t="s">
        <v>46</v>
      </c>
      <c r="L188" s="2" t="s">
        <v>47</v>
      </c>
      <c r="M188" s="8" t="s">
        <v>271</v>
      </c>
      <c r="O188" s="5" t="str">
        <f t="shared" si="1"/>
        <v>Patrika Barabanki
Link: https://www.patrika.com/barabanki-news
RSS Link: https://cms.patrika.com/blog/location/barabanki-news/feed/</v>
      </c>
    </row>
    <row r="189">
      <c r="A189" s="2" t="s">
        <v>2</v>
      </c>
      <c r="B189" s="6" t="s">
        <v>888</v>
      </c>
      <c r="C189" s="8" t="s">
        <v>276</v>
      </c>
      <c r="D189" s="2" t="s">
        <v>31</v>
      </c>
      <c r="E189" s="6" t="s">
        <v>113</v>
      </c>
      <c r="F189" s="2" t="s">
        <v>39</v>
      </c>
      <c r="G189" s="2" t="s">
        <v>21</v>
      </c>
      <c r="H189" s="2" t="s">
        <v>42</v>
      </c>
      <c r="I189" s="2" t="s">
        <v>43</v>
      </c>
      <c r="J189" s="2" t="s">
        <v>45</v>
      </c>
      <c r="K189" s="2" t="s">
        <v>46</v>
      </c>
      <c r="L189" s="2" t="s">
        <v>47</v>
      </c>
      <c r="M189" s="8" t="s">
        <v>275</v>
      </c>
      <c r="O189" s="5" t="str">
        <f t="shared" si="1"/>
        <v>Patrika Faizabad
Link: https://www.patrika.com/faizabad-news
RSS Link: https://cms.patrika.com/blog/location/faizabad-news/feed/</v>
      </c>
    </row>
    <row r="190">
      <c r="A190" s="2" t="s">
        <v>2</v>
      </c>
      <c r="B190" s="6" t="s">
        <v>889</v>
      </c>
      <c r="C190" s="8" t="s">
        <v>281</v>
      </c>
      <c r="D190" s="2" t="s">
        <v>31</v>
      </c>
      <c r="E190" s="6" t="s">
        <v>279</v>
      </c>
      <c r="F190" s="2" t="s">
        <v>39</v>
      </c>
      <c r="G190" s="2" t="s">
        <v>21</v>
      </c>
      <c r="H190" s="2" t="s">
        <v>42</v>
      </c>
      <c r="I190" s="2" t="s">
        <v>43</v>
      </c>
      <c r="J190" s="2" t="s">
        <v>45</v>
      </c>
      <c r="K190" s="2" t="s">
        <v>46</v>
      </c>
      <c r="L190" s="2" t="s">
        <v>47</v>
      </c>
      <c r="M190" s="8" t="s">
        <v>280</v>
      </c>
      <c r="O190" s="5" t="str">
        <f t="shared" si="1"/>
        <v>Patrika Sultanpur
Link: https://www.patrika.com/sultanpur-news
RSS Link: https://cms.patrika.com/blog/location/sultanpur-news/feed/</v>
      </c>
    </row>
    <row r="191">
      <c r="A191" s="2" t="s">
        <v>2</v>
      </c>
      <c r="B191" s="6" t="s">
        <v>890</v>
      </c>
      <c r="C191" s="8" t="s">
        <v>285</v>
      </c>
      <c r="D191" s="2" t="s">
        <v>31</v>
      </c>
      <c r="E191" s="6" t="s">
        <v>283</v>
      </c>
      <c r="F191" s="2" t="s">
        <v>39</v>
      </c>
      <c r="G191" s="2" t="s">
        <v>21</v>
      </c>
      <c r="H191" s="2" t="s">
        <v>42</v>
      </c>
      <c r="I191" s="2" t="s">
        <v>43</v>
      </c>
      <c r="J191" s="2" t="s">
        <v>45</v>
      </c>
      <c r="K191" s="2" t="s">
        <v>46</v>
      </c>
      <c r="L191" s="2" t="s">
        <v>47</v>
      </c>
      <c r="M191" s="8" t="s">
        <v>284</v>
      </c>
      <c r="O191" s="5" t="str">
        <f t="shared" si="1"/>
        <v>Patrika Deoria
Link: https://www.patrika.com/deoria-news
RSS Link: https://cms.patrika.com/blog/location/deoria-news/feed/</v>
      </c>
    </row>
    <row r="192">
      <c r="A192" s="2" t="s">
        <v>2</v>
      </c>
      <c r="B192" s="6" t="s">
        <v>891</v>
      </c>
      <c r="C192" s="8" t="s">
        <v>290</v>
      </c>
      <c r="D192" s="2" t="s">
        <v>31</v>
      </c>
      <c r="E192" s="6" t="s">
        <v>66</v>
      </c>
      <c r="F192" s="2" t="s">
        <v>39</v>
      </c>
      <c r="G192" s="2" t="s">
        <v>21</v>
      </c>
      <c r="H192" s="2" t="s">
        <v>42</v>
      </c>
      <c r="I192" s="2" t="s">
        <v>43</v>
      </c>
      <c r="J192" s="2" t="s">
        <v>45</v>
      </c>
      <c r="K192" s="2" t="s">
        <v>46</v>
      </c>
      <c r="L192" s="2" t="s">
        <v>47</v>
      </c>
      <c r="M192" s="8" t="s">
        <v>289</v>
      </c>
      <c r="O192" s="5" t="str">
        <f t="shared" si="1"/>
        <v>Patrika Gorakhpur
Link: https://www.patrika.com/gorakhpur-news
RSS Link: https://cms.patrika.com/blog/location/gorakhpur-news/feed/</v>
      </c>
    </row>
    <row r="193">
      <c r="A193" s="2" t="s">
        <v>2</v>
      </c>
      <c r="B193" s="6" t="s">
        <v>892</v>
      </c>
      <c r="C193" s="8" t="s">
        <v>294</v>
      </c>
      <c r="D193" s="2" t="s">
        <v>31</v>
      </c>
      <c r="E193" s="6" t="s">
        <v>210</v>
      </c>
      <c r="F193" s="2" t="s">
        <v>39</v>
      </c>
      <c r="G193" s="2" t="s">
        <v>21</v>
      </c>
      <c r="H193" s="2" t="s">
        <v>42</v>
      </c>
      <c r="I193" s="2" t="s">
        <v>43</v>
      </c>
      <c r="J193" s="2" t="s">
        <v>45</v>
      </c>
      <c r="K193" s="2" t="s">
        <v>46</v>
      </c>
      <c r="L193" s="2" t="s">
        <v>47</v>
      </c>
      <c r="M193" s="8" t="s">
        <v>292</v>
      </c>
      <c r="O193" s="5" t="str">
        <f t="shared" si="1"/>
        <v>Patrika Kushinagar
Link: https://www.patrika.com/kushinagar-news
RSS Link: https://cms.patrika.com/blog/location/kushinagar-news/feed/</v>
      </c>
    </row>
    <row r="194">
      <c r="A194" s="2" t="s">
        <v>2</v>
      </c>
      <c r="B194" s="6" t="s">
        <v>895</v>
      </c>
      <c r="C194" s="8" t="s">
        <v>300</v>
      </c>
      <c r="D194" s="2" t="s">
        <v>31</v>
      </c>
      <c r="E194" s="6" t="s">
        <v>296</v>
      </c>
      <c r="F194" s="2" t="s">
        <v>39</v>
      </c>
      <c r="G194" s="2" t="s">
        <v>21</v>
      </c>
      <c r="H194" s="2" t="s">
        <v>42</v>
      </c>
      <c r="I194" s="2" t="s">
        <v>43</v>
      </c>
      <c r="J194" s="2" t="s">
        <v>45</v>
      </c>
      <c r="K194" s="2" t="s">
        <v>46</v>
      </c>
      <c r="L194" s="2" t="s">
        <v>47</v>
      </c>
      <c r="M194" s="8" t="s">
        <v>297</v>
      </c>
      <c r="O194" s="5" t="str">
        <f t="shared" si="1"/>
        <v>Patrika Mahrajganj
Link: https://www.patrika.com/mahrajganj-news
RSS Link: https://cms.patrika.com/blog/location/mahrajganj-news/feed/</v>
      </c>
    </row>
    <row r="195">
      <c r="A195" s="2" t="s">
        <v>2</v>
      </c>
      <c r="B195" s="6" t="s">
        <v>900</v>
      </c>
      <c r="C195" s="8" t="s">
        <v>303</v>
      </c>
      <c r="D195" s="2" t="s">
        <v>31</v>
      </c>
      <c r="E195" s="6" t="s">
        <v>278</v>
      </c>
      <c r="F195" s="2" t="s">
        <v>39</v>
      </c>
      <c r="G195" s="2" t="s">
        <v>21</v>
      </c>
      <c r="H195" s="2" t="s">
        <v>42</v>
      </c>
      <c r="I195" s="2" t="s">
        <v>43</v>
      </c>
      <c r="J195" s="2" t="s">
        <v>45</v>
      </c>
      <c r="K195" s="2" t="s">
        <v>46</v>
      </c>
      <c r="L195" s="2" t="s">
        <v>47</v>
      </c>
      <c r="M195" s="8" t="s">
        <v>302</v>
      </c>
      <c r="O195" s="5" t="str">
        <f t="shared" si="1"/>
        <v>Patrika Jalaun
Link: https://www.patrika.com/jalaun-news
RSS Link: https://cms.patrika.com/blog/location/jalaun-news/feed/</v>
      </c>
    </row>
    <row r="196">
      <c r="A196" s="2" t="s">
        <v>2</v>
      </c>
      <c r="B196" s="6" t="s">
        <v>901</v>
      </c>
      <c r="C196" s="8" t="s">
        <v>309</v>
      </c>
      <c r="D196" s="2" t="s">
        <v>31</v>
      </c>
      <c r="E196" s="6" t="s">
        <v>301</v>
      </c>
      <c r="F196" s="2" t="s">
        <v>39</v>
      </c>
      <c r="G196" s="2" t="s">
        <v>21</v>
      </c>
      <c r="H196" s="2" t="s">
        <v>42</v>
      </c>
      <c r="I196" s="2" t="s">
        <v>43</v>
      </c>
      <c r="J196" s="2" t="s">
        <v>45</v>
      </c>
      <c r="K196" s="2" t="s">
        <v>46</v>
      </c>
      <c r="L196" s="2" t="s">
        <v>47</v>
      </c>
      <c r="M196" s="8" t="s">
        <v>308</v>
      </c>
      <c r="O196" s="5" t="str">
        <f t="shared" si="1"/>
        <v>Patrika Jhansi
Link: https://www.patrika.com/jhansi-news
RSS Link: https://cms.patrika.com/blog/location/jhansi-news/feed/</v>
      </c>
    </row>
    <row r="197">
      <c r="A197" s="2" t="s">
        <v>2</v>
      </c>
      <c r="B197" s="6" t="s">
        <v>906</v>
      </c>
      <c r="C197" s="8" t="s">
        <v>313</v>
      </c>
      <c r="D197" s="2" t="s">
        <v>31</v>
      </c>
      <c r="E197" s="6" t="s">
        <v>311</v>
      </c>
      <c r="F197" s="2" t="s">
        <v>39</v>
      </c>
      <c r="G197" s="2" t="s">
        <v>21</v>
      </c>
      <c r="H197" s="2" t="s">
        <v>42</v>
      </c>
      <c r="I197" s="2" t="s">
        <v>43</v>
      </c>
      <c r="J197" s="2" t="s">
        <v>45</v>
      </c>
      <c r="K197" s="2" t="s">
        <v>46</v>
      </c>
      <c r="L197" s="2" t="s">
        <v>47</v>
      </c>
      <c r="M197" s="8" t="s">
        <v>312</v>
      </c>
      <c r="O197" s="5" t="str">
        <f t="shared" si="1"/>
        <v>Patrika Lalitpur
Link: https://www.patrika.com/lalitpur-news
RSS Link: https://cms.patrika.com/blog/location/lalitpur-news/feed/</v>
      </c>
    </row>
    <row r="198">
      <c r="A198" s="2" t="s">
        <v>2</v>
      </c>
      <c r="B198" s="6" t="s">
        <v>907</v>
      </c>
      <c r="C198" s="8" t="s">
        <v>319</v>
      </c>
      <c r="D198" s="2" t="s">
        <v>31</v>
      </c>
      <c r="E198" s="6" t="s">
        <v>181</v>
      </c>
      <c r="F198" s="2" t="s">
        <v>39</v>
      </c>
      <c r="G198" s="2" t="s">
        <v>21</v>
      </c>
      <c r="H198" s="2" t="s">
        <v>42</v>
      </c>
      <c r="I198" s="2" t="s">
        <v>43</v>
      </c>
      <c r="J198" s="2" t="s">
        <v>45</v>
      </c>
      <c r="K198" s="2" t="s">
        <v>46</v>
      </c>
      <c r="L198" s="2" t="s">
        <v>47</v>
      </c>
      <c r="M198" s="8" t="s">
        <v>318</v>
      </c>
      <c r="O198" s="5" t="str">
        <f t="shared" si="1"/>
        <v>Patrika Auraiya
Link: https://www.patrika.com/auraiya-news
RSS Link: https://cms.patrika.com/blog/location/auraiya-news/feed/</v>
      </c>
    </row>
    <row r="199">
      <c r="A199" s="2" t="s">
        <v>2</v>
      </c>
      <c r="B199" s="6" t="s">
        <v>910</v>
      </c>
      <c r="C199" s="8" t="s">
        <v>324</v>
      </c>
      <c r="D199" s="2" t="s">
        <v>31</v>
      </c>
      <c r="E199" s="6" t="s">
        <v>322</v>
      </c>
      <c r="F199" s="2" t="s">
        <v>39</v>
      </c>
      <c r="G199" s="2" t="s">
        <v>21</v>
      </c>
      <c r="H199" s="2" t="s">
        <v>42</v>
      </c>
      <c r="I199" s="2" t="s">
        <v>43</v>
      </c>
      <c r="J199" s="2" t="s">
        <v>45</v>
      </c>
      <c r="K199" s="2" t="s">
        <v>46</v>
      </c>
      <c r="L199" s="2" t="s">
        <v>47</v>
      </c>
      <c r="M199" s="8" t="s">
        <v>323</v>
      </c>
      <c r="O199" s="5" t="str">
        <f t="shared" si="1"/>
        <v>Patrika Farrukhabad
Link: https://www.patrika.com/farrukhabad-news
RSS Link: https://cms.patrika.com/blog/location/farrukhabad-news/feed/</v>
      </c>
    </row>
    <row r="200">
      <c r="A200" s="2" t="s">
        <v>2</v>
      </c>
      <c r="B200" s="6" t="s">
        <v>913</v>
      </c>
      <c r="C200" s="8" t="s">
        <v>330</v>
      </c>
      <c r="D200" s="2" t="s">
        <v>31</v>
      </c>
      <c r="E200" s="6" t="s">
        <v>190</v>
      </c>
      <c r="F200" s="2" t="s">
        <v>39</v>
      </c>
      <c r="G200" s="2" t="s">
        <v>21</v>
      </c>
      <c r="H200" s="2" t="s">
        <v>42</v>
      </c>
      <c r="I200" s="2" t="s">
        <v>43</v>
      </c>
      <c r="J200" s="2" t="s">
        <v>45</v>
      </c>
      <c r="K200" s="2" t="s">
        <v>46</v>
      </c>
      <c r="L200" s="2" t="s">
        <v>47</v>
      </c>
      <c r="M200" s="8" t="s">
        <v>329</v>
      </c>
      <c r="O200" s="5" t="str">
        <f t="shared" si="1"/>
        <v>Patrika Kannauj
Link: https://www.patrika.com/kannauj-news
RSS Link: https://cms.patrika.com/blog/location/kannauj-news/feed/</v>
      </c>
    </row>
    <row r="201">
      <c r="A201" s="2" t="s">
        <v>2</v>
      </c>
      <c r="B201" s="6" t="s">
        <v>914</v>
      </c>
      <c r="C201" s="8" t="s">
        <v>334</v>
      </c>
      <c r="D201" s="2" t="s">
        <v>31</v>
      </c>
      <c r="E201" s="6" t="s">
        <v>199</v>
      </c>
      <c r="F201" s="2" t="s">
        <v>39</v>
      </c>
      <c r="G201" s="2" t="s">
        <v>21</v>
      </c>
      <c r="H201" s="2" t="s">
        <v>42</v>
      </c>
      <c r="I201" s="2" t="s">
        <v>43</v>
      </c>
      <c r="J201" s="2" t="s">
        <v>45</v>
      </c>
      <c r="K201" s="2" t="s">
        <v>46</v>
      </c>
      <c r="L201" s="2" t="s">
        <v>47</v>
      </c>
      <c r="M201" s="8" t="s">
        <v>332</v>
      </c>
      <c r="O201" s="5" t="str">
        <f t="shared" si="1"/>
        <v>Patrika Kanpur
Link: https://www.patrika.com/kanpur-news
RSS Link: https://cms.patrika.com/blog/location/kanpur-news/feed/</v>
      </c>
    </row>
    <row r="202">
      <c r="A202" s="2" t="s">
        <v>2</v>
      </c>
      <c r="B202" s="6" t="s">
        <v>919</v>
      </c>
      <c r="C202" s="8" t="s">
        <v>340</v>
      </c>
      <c r="D202" s="2" t="s">
        <v>31</v>
      </c>
      <c r="E202" s="6" t="s">
        <v>338</v>
      </c>
      <c r="F202" s="2" t="s">
        <v>39</v>
      </c>
      <c r="G202" s="2" t="s">
        <v>21</v>
      </c>
      <c r="H202" s="2" t="s">
        <v>42</v>
      </c>
      <c r="I202" s="2" t="s">
        <v>43</v>
      </c>
      <c r="J202" s="2" t="s">
        <v>45</v>
      </c>
      <c r="K202" s="2" t="s">
        <v>46</v>
      </c>
      <c r="L202" s="2" t="s">
        <v>47</v>
      </c>
      <c r="M202" s="8" t="s">
        <v>339</v>
      </c>
      <c r="O202" s="5" t="str">
        <f t="shared" si="1"/>
        <v>Patrika Hardoi
Link: https://www.patrika.com/hardoi-news
RSS Link: https://cms.patrika.com/blog/location/hardoi-news/feed/</v>
      </c>
    </row>
    <row r="203">
      <c r="A203" s="2" t="s">
        <v>2</v>
      </c>
      <c r="B203" s="6" t="s">
        <v>924</v>
      </c>
      <c r="C203" s="8" t="s">
        <v>343</v>
      </c>
      <c r="D203" s="2" t="s">
        <v>31</v>
      </c>
      <c r="E203" s="6" t="s">
        <v>341</v>
      </c>
      <c r="F203" s="2" t="s">
        <v>39</v>
      </c>
      <c r="G203" s="2" t="s">
        <v>21</v>
      </c>
      <c r="H203" s="2" t="s">
        <v>42</v>
      </c>
      <c r="I203" s="2" t="s">
        <v>43</v>
      </c>
      <c r="J203" s="2" t="s">
        <v>45</v>
      </c>
      <c r="K203" s="2" t="s">
        <v>46</v>
      </c>
      <c r="L203" s="2" t="s">
        <v>47</v>
      </c>
      <c r="M203" s="8" t="s">
        <v>342</v>
      </c>
      <c r="O203" s="5" t="str">
        <f t="shared" si="1"/>
        <v>Patrika Lakhimpur Kheri
Link: https://www.patrika.com/lakhimpur-kheri-news
RSS Link: https://cms.patrika.com/blog/location/lakhimpur-kheri-news/feed/</v>
      </c>
    </row>
    <row r="204">
      <c r="A204" s="2" t="s">
        <v>2</v>
      </c>
      <c r="B204" s="6" t="s">
        <v>929</v>
      </c>
      <c r="C204" s="8" t="s">
        <v>349</v>
      </c>
      <c r="D204" s="2" t="s">
        <v>31</v>
      </c>
      <c r="E204" s="6" t="s">
        <v>75</v>
      </c>
      <c r="F204" s="2" t="s">
        <v>39</v>
      </c>
      <c r="G204" s="2" t="s">
        <v>21</v>
      </c>
      <c r="H204" s="2" t="s">
        <v>42</v>
      </c>
      <c r="I204" s="2" t="s">
        <v>43</v>
      </c>
      <c r="J204" s="2" t="s">
        <v>45</v>
      </c>
      <c r="K204" s="2" t="s">
        <v>46</v>
      </c>
      <c r="L204" s="2" t="s">
        <v>47</v>
      </c>
      <c r="M204" s="8" t="s">
        <v>348</v>
      </c>
      <c r="O204" s="5" t="str">
        <f t="shared" si="1"/>
        <v>Patrika Lucknow
Link: https://www.patrika.com/lucknow-news
RSS Link: https://cms.patrika.com/blog/location/lucknow-news/feed/</v>
      </c>
    </row>
    <row r="205">
      <c r="A205" s="2" t="s">
        <v>2</v>
      </c>
      <c r="B205" s="6" t="s">
        <v>934</v>
      </c>
      <c r="C205" s="8" t="s">
        <v>353</v>
      </c>
      <c r="D205" s="2" t="s">
        <v>31</v>
      </c>
      <c r="E205" s="6" t="s">
        <v>351</v>
      </c>
      <c r="F205" s="2" t="s">
        <v>39</v>
      </c>
      <c r="G205" s="2" t="s">
        <v>21</v>
      </c>
      <c r="H205" s="2" t="s">
        <v>42</v>
      </c>
      <c r="I205" s="2" t="s">
        <v>43</v>
      </c>
      <c r="J205" s="2" t="s">
        <v>45</v>
      </c>
      <c r="K205" s="2" t="s">
        <v>46</v>
      </c>
      <c r="L205" s="2" t="s">
        <v>47</v>
      </c>
      <c r="M205" s="8" t="s">
        <v>352</v>
      </c>
      <c r="O205" s="5" t="str">
        <f t="shared" si="1"/>
        <v>Patrika Raebareli
Link: https://www.patrika.com/raebareli-news
RSS Link: https://cms.patrika.com/blog/location/raebareli-news/feed/</v>
      </c>
    </row>
    <row r="206">
      <c r="A206" s="2" t="s">
        <v>2</v>
      </c>
      <c r="B206" s="6" t="s">
        <v>937</v>
      </c>
      <c r="C206" s="8" t="s">
        <v>359</v>
      </c>
      <c r="D206" s="2" t="s">
        <v>31</v>
      </c>
      <c r="E206" s="6" t="s">
        <v>357</v>
      </c>
      <c r="F206" s="2" t="s">
        <v>39</v>
      </c>
      <c r="G206" s="2" t="s">
        <v>21</v>
      </c>
      <c r="H206" s="2" t="s">
        <v>42</v>
      </c>
      <c r="I206" s="2" t="s">
        <v>43</v>
      </c>
      <c r="J206" s="2" t="s">
        <v>45</v>
      </c>
      <c r="K206" s="2" t="s">
        <v>46</v>
      </c>
      <c r="L206" s="2" t="s">
        <v>47</v>
      </c>
      <c r="M206" s="8" t="s">
        <v>358</v>
      </c>
      <c r="O206" s="5" t="str">
        <f t="shared" si="1"/>
        <v>Patrika Sitapur
Link: https://www.patrika.com/sitapur-news
RSS Link: https://cms.patrika.com/blog/location/sitapur-news/feed/</v>
      </c>
    </row>
    <row r="207">
      <c r="A207" s="2" t="s">
        <v>2</v>
      </c>
      <c r="B207" s="6" t="s">
        <v>940</v>
      </c>
      <c r="C207" s="8" t="s">
        <v>364</v>
      </c>
      <c r="D207" s="2" t="s">
        <v>31</v>
      </c>
      <c r="E207" s="6" t="s">
        <v>161</v>
      </c>
      <c r="F207" s="2" t="s">
        <v>39</v>
      </c>
      <c r="G207" s="2" t="s">
        <v>21</v>
      </c>
      <c r="H207" s="2" t="s">
        <v>42</v>
      </c>
      <c r="I207" s="2" t="s">
        <v>43</v>
      </c>
      <c r="J207" s="2" t="s">
        <v>45</v>
      </c>
      <c r="K207" s="2" t="s">
        <v>46</v>
      </c>
      <c r="L207" s="2" t="s">
        <v>47</v>
      </c>
      <c r="M207" s="8" t="s">
        <v>362</v>
      </c>
      <c r="O207" s="5" t="str">
        <f t="shared" si="1"/>
        <v>Patrika Unnao
Link: https://www.patrika.com/unnao-news
RSS Link: https://cms.patrika.com/blog/location/unnao-news/feed/</v>
      </c>
    </row>
    <row r="208">
      <c r="A208" s="2" t="s">
        <v>2</v>
      </c>
      <c r="B208" s="6" t="s">
        <v>945</v>
      </c>
      <c r="C208" s="8" t="s">
        <v>369</v>
      </c>
      <c r="D208" s="2" t="s">
        <v>31</v>
      </c>
      <c r="E208" s="6" t="s">
        <v>367</v>
      </c>
      <c r="F208" s="2" t="s">
        <v>39</v>
      </c>
      <c r="G208" s="2" t="s">
        <v>21</v>
      </c>
      <c r="H208" s="2" t="s">
        <v>42</v>
      </c>
      <c r="I208" s="2" t="s">
        <v>43</v>
      </c>
      <c r="J208" s="2" t="s">
        <v>45</v>
      </c>
      <c r="K208" s="2" t="s">
        <v>46</v>
      </c>
      <c r="L208" s="2" t="s">
        <v>47</v>
      </c>
      <c r="M208" s="8" t="s">
        <v>368</v>
      </c>
      <c r="O208" s="5" t="str">
        <f t="shared" si="1"/>
        <v>Patrika Bagpat
Link: https://www.patrika.com/bagpat-news
RSS Link: https://cms.patrika.com/blog/location/bagpat-news/feed/</v>
      </c>
    </row>
    <row r="209">
      <c r="A209" s="2" t="s">
        <v>2</v>
      </c>
      <c r="B209" s="6" t="s">
        <v>947</v>
      </c>
      <c r="C209" s="8" t="s">
        <v>374</v>
      </c>
      <c r="D209" s="2" t="s">
        <v>31</v>
      </c>
      <c r="E209" s="6" t="s">
        <v>372</v>
      </c>
      <c r="F209" s="2" t="s">
        <v>39</v>
      </c>
      <c r="G209" s="2" t="s">
        <v>21</v>
      </c>
      <c r="H209" s="2" t="s">
        <v>42</v>
      </c>
      <c r="I209" s="2" t="s">
        <v>43</v>
      </c>
      <c r="J209" s="2" t="s">
        <v>45</v>
      </c>
      <c r="K209" s="2" t="s">
        <v>46</v>
      </c>
      <c r="L209" s="2" t="s">
        <v>47</v>
      </c>
      <c r="M209" s="8" t="s">
        <v>373</v>
      </c>
      <c r="O209" s="5" t="str">
        <f t="shared" si="1"/>
        <v>Patrika Bulandshahr
Link: https://www.patrika.com/bulandshahr-news
RSS Link: https://cms.patrika.com/blog/location/bulandshahr-news/feed/</v>
      </c>
    </row>
    <row r="210">
      <c r="A210" s="2" t="s">
        <v>2</v>
      </c>
      <c r="B210" s="6" t="s">
        <v>950</v>
      </c>
      <c r="C210" s="8" t="s">
        <v>381</v>
      </c>
      <c r="D210" s="2" t="s">
        <v>31</v>
      </c>
      <c r="E210" s="6" t="s">
        <v>379</v>
      </c>
      <c r="F210" s="2" t="s">
        <v>39</v>
      </c>
      <c r="G210" s="2" t="s">
        <v>21</v>
      </c>
      <c r="H210" s="2" t="s">
        <v>42</v>
      </c>
      <c r="I210" s="2" t="s">
        <v>43</v>
      </c>
      <c r="J210" s="2" t="s">
        <v>45</v>
      </c>
      <c r="K210" s="2" t="s">
        <v>46</v>
      </c>
      <c r="L210" s="2" t="s">
        <v>47</v>
      </c>
      <c r="M210" s="8" t="s">
        <v>380</v>
      </c>
      <c r="O210" s="5" t="str">
        <f t="shared" si="1"/>
        <v>Patrika Greater Noida
Link: https://www.patrika.com/greater-noida-news
RSS Link: https://cms.patrika.com/blog/location/greater-noida-news/feed/</v>
      </c>
    </row>
    <row r="211">
      <c r="A211" s="2" t="s">
        <v>2</v>
      </c>
      <c r="B211" s="6" t="s">
        <v>954</v>
      </c>
      <c r="C211" s="8" t="s">
        <v>385</v>
      </c>
      <c r="D211" s="2" t="s">
        <v>31</v>
      </c>
      <c r="E211" s="6" t="s">
        <v>383</v>
      </c>
      <c r="F211" s="2" t="s">
        <v>39</v>
      </c>
      <c r="G211" s="2" t="s">
        <v>21</v>
      </c>
      <c r="H211" s="2" t="s">
        <v>42</v>
      </c>
      <c r="I211" s="2" t="s">
        <v>43</v>
      </c>
      <c r="J211" s="2" t="s">
        <v>45</v>
      </c>
      <c r="K211" s="2" t="s">
        <v>46</v>
      </c>
      <c r="L211" s="2" t="s">
        <v>47</v>
      </c>
      <c r="M211" s="8" t="s">
        <v>384</v>
      </c>
      <c r="O211" s="5" t="str">
        <f t="shared" si="1"/>
        <v>Patrika Noida
Link: https://www.patrika.com/noida-news
RSS Link: https://cms.patrika.com/blog/location/noida-news/feed/</v>
      </c>
    </row>
    <row r="212">
      <c r="A212" s="2" t="s">
        <v>2</v>
      </c>
      <c r="B212" s="6" t="s">
        <v>957</v>
      </c>
      <c r="C212" s="8" t="s">
        <v>392</v>
      </c>
      <c r="D212" s="2" t="s">
        <v>31</v>
      </c>
      <c r="E212" s="6" t="s">
        <v>390</v>
      </c>
      <c r="F212" s="2" t="s">
        <v>39</v>
      </c>
      <c r="G212" s="2" t="s">
        <v>21</v>
      </c>
      <c r="H212" s="2" t="s">
        <v>42</v>
      </c>
      <c r="I212" s="2" t="s">
        <v>43</v>
      </c>
      <c r="J212" s="2" t="s">
        <v>45</v>
      </c>
      <c r="K212" s="2" t="s">
        <v>46</v>
      </c>
      <c r="L212" s="2" t="s">
        <v>47</v>
      </c>
      <c r="M212" s="8" t="s">
        <v>391</v>
      </c>
      <c r="O212" s="5" t="str">
        <f t="shared" si="1"/>
        <v>Patrika Ghaziabad
Link: https://www.patrika.com/ghaziabad-news
RSS Link: https://cms.patrika.com/blog/location/ghaziabad-news/feed/</v>
      </c>
    </row>
    <row r="213">
      <c r="A213" s="2" t="s">
        <v>2</v>
      </c>
      <c r="B213" s="6" t="s">
        <v>962</v>
      </c>
      <c r="C213" s="8" t="s">
        <v>396</v>
      </c>
      <c r="D213" s="2" t="s">
        <v>31</v>
      </c>
      <c r="E213" s="6" t="s">
        <v>231</v>
      </c>
      <c r="F213" s="2" t="s">
        <v>39</v>
      </c>
      <c r="G213" s="2" t="s">
        <v>21</v>
      </c>
      <c r="H213" s="2" t="s">
        <v>42</v>
      </c>
      <c r="I213" s="2" t="s">
        <v>43</v>
      </c>
      <c r="J213" s="2" t="s">
        <v>45</v>
      </c>
      <c r="K213" s="2" t="s">
        <v>46</v>
      </c>
      <c r="L213" s="2" t="s">
        <v>47</v>
      </c>
      <c r="M213" s="8" t="s">
        <v>395</v>
      </c>
      <c r="O213" s="5" t="str">
        <f t="shared" si="1"/>
        <v>Patrika Ghazipur
Link: https://www.patrika.com/ghazipur-news
RSS Link: https://cms.patrika.com/blog/location/ghazipur-news/feed/</v>
      </c>
    </row>
    <row r="214">
      <c r="A214" s="2" t="s">
        <v>2</v>
      </c>
      <c r="B214" s="6" t="s">
        <v>964</v>
      </c>
      <c r="C214" s="8" t="s">
        <v>403</v>
      </c>
      <c r="D214" s="2" t="s">
        <v>31</v>
      </c>
      <c r="E214" s="6" t="s">
        <v>401</v>
      </c>
      <c r="F214" s="2" t="s">
        <v>39</v>
      </c>
      <c r="G214" s="2" t="s">
        <v>21</v>
      </c>
      <c r="H214" s="2" t="s">
        <v>42</v>
      </c>
      <c r="I214" s="2" t="s">
        <v>43</v>
      </c>
      <c r="J214" s="2" t="s">
        <v>45</v>
      </c>
      <c r="K214" s="2" t="s">
        <v>46</v>
      </c>
      <c r="L214" s="2" t="s">
        <v>47</v>
      </c>
      <c r="M214" s="8" t="s">
        <v>402</v>
      </c>
      <c r="O214" s="5" t="str">
        <f t="shared" si="1"/>
        <v>Patrika Hapur
Link: https://www.patrika.com/hapur-news
RSS Link: https://cms.patrika.com/blog/location/hapur-news/feed/</v>
      </c>
    </row>
    <row r="215">
      <c r="A215" s="2" t="s">
        <v>2</v>
      </c>
      <c r="B215" s="6" t="s">
        <v>968</v>
      </c>
      <c r="C215" s="8" t="s">
        <v>407</v>
      </c>
      <c r="D215" s="2" t="s">
        <v>31</v>
      </c>
      <c r="E215" s="6" t="s">
        <v>405</v>
      </c>
      <c r="F215" s="2" t="s">
        <v>39</v>
      </c>
      <c r="G215" s="2" t="s">
        <v>21</v>
      </c>
      <c r="H215" s="2" t="s">
        <v>42</v>
      </c>
      <c r="I215" s="2" t="s">
        <v>43</v>
      </c>
      <c r="J215" s="2" t="s">
        <v>45</v>
      </c>
      <c r="K215" s="2" t="s">
        <v>46</v>
      </c>
      <c r="L215" s="2" t="s">
        <v>47</v>
      </c>
      <c r="M215" s="8" t="s">
        <v>406</v>
      </c>
      <c r="O215" s="5" t="str">
        <f t="shared" si="1"/>
        <v>Patrika Meerut
Link: https://www.patrika.com/meerut-news
RSS Link: https://cms.patrika.com/blog/location/meerut-news/feed/</v>
      </c>
    </row>
    <row r="216">
      <c r="A216" s="2" t="s">
        <v>2</v>
      </c>
      <c r="B216" s="6" t="s">
        <v>971</v>
      </c>
      <c r="C216" s="8" t="s">
        <v>413</v>
      </c>
      <c r="D216" s="2" t="s">
        <v>31</v>
      </c>
      <c r="E216" s="6" t="s">
        <v>411</v>
      </c>
      <c r="F216" s="2" t="s">
        <v>39</v>
      </c>
      <c r="G216" s="2" t="s">
        <v>21</v>
      </c>
      <c r="H216" s="2" t="s">
        <v>42</v>
      </c>
      <c r="I216" s="2" t="s">
        <v>43</v>
      </c>
      <c r="J216" s="2" t="s">
        <v>45</v>
      </c>
      <c r="K216" s="2" t="s">
        <v>46</v>
      </c>
      <c r="L216" s="2" t="s">
        <v>47</v>
      </c>
      <c r="M216" s="8" t="s">
        <v>412</v>
      </c>
      <c r="O216" s="5" t="str">
        <f t="shared" si="1"/>
        <v>Patrika Bhadohi
Link: https://www.patrika.com/bhadohi-news
RSS Link: https://cms.patrika.com/blog/location/bhadohi-news/feed/</v>
      </c>
    </row>
    <row r="217">
      <c r="A217" s="2" t="s">
        <v>2</v>
      </c>
      <c r="B217" s="6" t="s">
        <v>974</v>
      </c>
      <c r="C217" s="8" t="s">
        <v>417</v>
      </c>
      <c r="D217" s="2" t="s">
        <v>31</v>
      </c>
      <c r="E217" s="6" t="s">
        <v>415</v>
      </c>
      <c r="F217" s="2" t="s">
        <v>39</v>
      </c>
      <c r="G217" s="2" t="s">
        <v>21</v>
      </c>
      <c r="H217" s="2" t="s">
        <v>42</v>
      </c>
      <c r="I217" s="2" t="s">
        <v>43</v>
      </c>
      <c r="J217" s="2" t="s">
        <v>45</v>
      </c>
      <c r="K217" s="2" t="s">
        <v>46</v>
      </c>
      <c r="L217" s="2" t="s">
        <v>47</v>
      </c>
      <c r="M217" s="8" t="s">
        <v>416</v>
      </c>
      <c r="O217" s="5" t="str">
        <f t="shared" si="1"/>
        <v>Patrika Mirzapur
Link: https://www.patrika.com/mirzapur-news
RSS Link: https://cms.patrika.com/blog/location/mirzapur-news/feed/</v>
      </c>
    </row>
    <row r="218">
      <c r="A218" s="2" t="s">
        <v>2</v>
      </c>
      <c r="B218" s="6" t="s">
        <v>977</v>
      </c>
      <c r="C218" s="8" t="s">
        <v>424</v>
      </c>
      <c r="D218" s="2" t="s">
        <v>31</v>
      </c>
      <c r="E218" s="6" t="s">
        <v>422</v>
      </c>
      <c r="F218" s="2" t="s">
        <v>39</v>
      </c>
      <c r="G218" s="2" t="s">
        <v>21</v>
      </c>
      <c r="H218" s="2" t="s">
        <v>42</v>
      </c>
      <c r="I218" s="2" t="s">
        <v>43</v>
      </c>
      <c r="J218" s="2" t="s">
        <v>45</v>
      </c>
      <c r="K218" s="2" t="s">
        <v>46</v>
      </c>
      <c r="L218" s="2" t="s">
        <v>47</v>
      </c>
      <c r="M218" s="8" t="s">
        <v>423</v>
      </c>
      <c r="O218" s="5" t="str">
        <f t="shared" si="1"/>
        <v>Patrika Sonbhadra
Link: https://www.patrika.com/sonbhadra-news
RSS Link: https://cms.patrika.com/blog/location/sonbhadra-news/feed/</v>
      </c>
    </row>
    <row r="219">
      <c r="A219" s="2" t="s">
        <v>2</v>
      </c>
      <c r="B219" s="6" t="s">
        <v>980</v>
      </c>
      <c r="C219" s="8" t="s">
        <v>427</v>
      </c>
      <c r="D219" s="2" t="s">
        <v>31</v>
      </c>
      <c r="E219" s="6" t="s">
        <v>84</v>
      </c>
      <c r="F219" s="2" t="s">
        <v>39</v>
      </c>
      <c r="G219" s="2" t="s">
        <v>21</v>
      </c>
      <c r="H219" s="2" t="s">
        <v>42</v>
      </c>
      <c r="I219" s="2" t="s">
        <v>43</v>
      </c>
      <c r="J219" s="2" t="s">
        <v>45</v>
      </c>
      <c r="K219" s="2" t="s">
        <v>46</v>
      </c>
      <c r="L219" s="2" t="s">
        <v>47</v>
      </c>
      <c r="M219" s="8" t="s">
        <v>426</v>
      </c>
      <c r="O219" s="5" t="str">
        <f t="shared" si="1"/>
        <v>Patrika Amroha
Link: https://www.patrika.com/amroha-news
RSS Link: https://cms.patrika.com/blog/location/amroha-news/feed/</v>
      </c>
    </row>
    <row r="220">
      <c r="A220" s="2" t="s">
        <v>2</v>
      </c>
      <c r="B220" s="6" t="s">
        <v>985</v>
      </c>
      <c r="C220" s="8" t="s">
        <v>431</v>
      </c>
      <c r="D220" s="2" t="s">
        <v>31</v>
      </c>
      <c r="E220" s="6" t="s">
        <v>429</v>
      </c>
      <c r="F220" s="2" t="s">
        <v>39</v>
      </c>
      <c r="G220" s="2" t="s">
        <v>21</v>
      </c>
      <c r="H220" s="2" t="s">
        <v>42</v>
      </c>
      <c r="I220" s="2" t="s">
        <v>43</v>
      </c>
      <c r="J220" s="2" t="s">
        <v>45</v>
      </c>
      <c r="K220" s="2" t="s">
        <v>46</v>
      </c>
      <c r="L220" s="2" t="s">
        <v>47</v>
      </c>
      <c r="M220" s="8" t="s">
        <v>430</v>
      </c>
      <c r="O220" s="5" t="str">
        <f t="shared" si="1"/>
        <v>Patrika Bijnor
Link: https://www.patrika.com/bijnor-news
RSS Link: https://cms.patrika.com/blog/location/bijnor-news/feed/</v>
      </c>
    </row>
    <row r="221">
      <c r="A221" s="2" t="s">
        <v>2</v>
      </c>
      <c r="B221" s="6" t="s">
        <v>989</v>
      </c>
      <c r="C221" s="8" t="s">
        <v>436</v>
      </c>
      <c r="D221" s="2" t="s">
        <v>31</v>
      </c>
      <c r="E221" s="6" t="s">
        <v>434</v>
      </c>
      <c r="F221" s="2" t="s">
        <v>39</v>
      </c>
      <c r="G221" s="2" t="s">
        <v>21</v>
      </c>
      <c r="H221" s="2" t="s">
        <v>42</v>
      </c>
      <c r="I221" s="2" t="s">
        <v>43</v>
      </c>
      <c r="J221" s="2" t="s">
        <v>45</v>
      </c>
      <c r="K221" s="2" t="s">
        <v>46</v>
      </c>
      <c r="L221" s="2" t="s">
        <v>47</v>
      </c>
      <c r="M221" s="8" t="s">
        <v>435</v>
      </c>
      <c r="O221" s="5" t="str">
        <f t="shared" si="1"/>
        <v>Patrika Moradabad
Link: https://www.patrika.com/moradabad-news
RSS Link: https://cms.patrika.com/blog/location/moradabad-news/feed/</v>
      </c>
    </row>
    <row r="222">
      <c r="A222" s="2" t="s">
        <v>2</v>
      </c>
      <c r="B222" s="6" t="s">
        <v>992</v>
      </c>
      <c r="C222" s="8" t="s">
        <v>443</v>
      </c>
      <c r="D222" s="2" t="s">
        <v>31</v>
      </c>
      <c r="E222" s="6" t="s">
        <v>441</v>
      </c>
      <c r="F222" s="2" t="s">
        <v>39</v>
      </c>
      <c r="G222" s="2" t="s">
        <v>21</v>
      </c>
      <c r="H222" s="2" t="s">
        <v>42</v>
      </c>
      <c r="I222" s="2" t="s">
        <v>43</v>
      </c>
      <c r="J222" s="2" t="s">
        <v>45</v>
      </c>
      <c r="K222" s="2" t="s">
        <v>46</v>
      </c>
      <c r="L222" s="2" t="s">
        <v>47</v>
      </c>
      <c r="M222" s="8" t="s">
        <v>442</v>
      </c>
      <c r="O222" s="5" t="str">
        <f t="shared" si="1"/>
        <v>Patrika Rampur
Link: https://www.patrika.com/rampur-news
RSS Link: https://cms.patrika.com/blog/location/rampur-news/feed/</v>
      </c>
    </row>
    <row r="223">
      <c r="A223" s="2" t="s">
        <v>2</v>
      </c>
      <c r="B223" s="6" t="s">
        <v>996</v>
      </c>
      <c r="C223" s="8" t="s">
        <v>447</v>
      </c>
      <c r="D223" s="2" t="s">
        <v>31</v>
      </c>
      <c r="E223" s="6" t="s">
        <v>445</v>
      </c>
      <c r="F223" s="2" t="s">
        <v>39</v>
      </c>
      <c r="G223" s="2" t="s">
        <v>21</v>
      </c>
      <c r="H223" s="2" t="s">
        <v>42</v>
      </c>
      <c r="I223" s="2" t="s">
        <v>43</v>
      </c>
      <c r="J223" s="2" t="s">
        <v>45</v>
      </c>
      <c r="K223" s="2" t="s">
        <v>46</v>
      </c>
      <c r="L223" s="2" t="s">
        <v>47</v>
      </c>
      <c r="M223" s="8" t="s">
        <v>446</v>
      </c>
      <c r="O223" s="5" t="str">
        <f t="shared" si="1"/>
        <v>Patrika Sambhal
Link: https://www.patrika.com/sambhal-news
RSS Link: https://cms.patrika.com/blog/location/sambhal-news/feed/</v>
      </c>
    </row>
    <row r="224">
      <c r="A224" s="2" t="s">
        <v>2</v>
      </c>
      <c r="B224" s="6" t="s">
        <v>1000</v>
      </c>
      <c r="C224" s="8" t="s">
        <v>454</v>
      </c>
      <c r="D224" s="2" t="s">
        <v>31</v>
      </c>
      <c r="E224" s="6" t="s">
        <v>451</v>
      </c>
      <c r="F224" s="2" t="s">
        <v>39</v>
      </c>
      <c r="G224" s="2" t="s">
        <v>21</v>
      </c>
      <c r="H224" s="2" t="s">
        <v>42</v>
      </c>
      <c r="I224" s="2" t="s">
        <v>43</v>
      </c>
      <c r="J224" s="2" t="s">
        <v>45</v>
      </c>
      <c r="K224" s="2" t="s">
        <v>46</v>
      </c>
      <c r="L224" s="2" t="s">
        <v>47</v>
      </c>
      <c r="M224" s="8" t="s">
        <v>453</v>
      </c>
      <c r="O224" s="5" t="str">
        <f t="shared" si="1"/>
        <v>Patrika Muzaffarnagar
Link: https://www.patrika.com/muzaffarnagar-news
RSS Link: https://cms.patrika.com/blog/location/muzaffarnagar-news/feed/</v>
      </c>
    </row>
    <row r="225">
      <c r="A225" s="2" t="s">
        <v>2</v>
      </c>
      <c r="B225" s="6" t="s">
        <v>1003</v>
      </c>
      <c r="C225" s="8" t="s">
        <v>459</v>
      </c>
      <c r="D225" s="2" t="s">
        <v>31</v>
      </c>
      <c r="E225" s="6" t="s">
        <v>457</v>
      </c>
      <c r="F225" s="2" t="s">
        <v>39</v>
      </c>
      <c r="G225" s="2" t="s">
        <v>21</v>
      </c>
      <c r="H225" s="2" t="s">
        <v>42</v>
      </c>
      <c r="I225" s="2" t="s">
        <v>43</v>
      </c>
      <c r="J225" s="2" t="s">
        <v>45</v>
      </c>
      <c r="K225" s="2" t="s">
        <v>46</v>
      </c>
      <c r="L225" s="2" t="s">
        <v>47</v>
      </c>
      <c r="M225" s="8" t="s">
        <v>458</v>
      </c>
      <c r="O225" s="5" t="str">
        <f t="shared" si="1"/>
        <v>Patrika Saharanpur
Link: https://www.patrika.com/saharanpur-news
RSS Link: https://cms.patrika.com/blog/location/saharanpur-news/feed/</v>
      </c>
    </row>
    <row r="226">
      <c r="A226" s="2" t="s">
        <v>2</v>
      </c>
      <c r="B226" s="6" t="s">
        <v>1007</v>
      </c>
      <c r="C226" s="8" t="s">
        <v>466</v>
      </c>
      <c r="D226" s="2" t="s">
        <v>31</v>
      </c>
      <c r="E226" s="6" t="s">
        <v>464</v>
      </c>
      <c r="F226" s="2" t="s">
        <v>39</v>
      </c>
      <c r="G226" s="2" t="s">
        <v>21</v>
      </c>
      <c r="H226" s="2" t="s">
        <v>42</v>
      </c>
      <c r="I226" s="2" t="s">
        <v>43</v>
      </c>
      <c r="J226" s="2" t="s">
        <v>45</v>
      </c>
      <c r="K226" s="2" t="s">
        <v>46</v>
      </c>
      <c r="L226" s="2" t="s">
        <v>47</v>
      </c>
      <c r="M226" s="8" t="s">
        <v>465</v>
      </c>
      <c r="O226" s="5" t="str">
        <f t="shared" si="1"/>
        <v>Patrika Shamli
Link: https://www.patrika.com/shamli-news
RSS Link: https://cms.patrika.com/blog/location/shamli-news/feed/</v>
      </c>
    </row>
    <row r="227">
      <c r="A227" s="2" t="s">
        <v>2</v>
      </c>
      <c r="B227" s="6" t="s">
        <v>1012</v>
      </c>
      <c r="C227" s="8" t="s">
        <v>469</v>
      </c>
      <c r="D227" s="2" t="s">
        <v>31</v>
      </c>
      <c r="E227" s="6" t="s">
        <v>258</v>
      </c>
      <c r="F227" s="2" t="s">
        <v>39</v>
      </c>
      <c r="G227" s="2" t="s">
        <v>21</v>
      </c>
      <c r="H227" s="2" t="s">
        <v>42</v>
      </c>
      <c r="I227" s="2" t="s">
        <v>43</v>
      </c>
      <c r="J227" s="2" t="s">
        <v>45</v>
      </c>
      <c r="K227" s="2" t="s">
        <v>46</v>
      </c>
      <c r="L227" s="2" t="s">
        <v>47</v>
      </c>
      <c r="M227" s="8" t="s">
        <v>468</v>
      </c>
      <c r="O227" s="5" t="str">
        <f t="shared" si="1"/>
        <v>Patrika Chandauli
Link: https://www.patrika.com/chandauli-news
RSS Link: https://cms.patrika.com/blog/location/chandauli-news/feed/</v>
      </c>
    </row>
    <row r="228">
      <c r="A228" s="2" t="s">
        <v>2</v>
      </c>
      <c r="B228" s="6" t="s">
        <v>1013</v>
      </c>
      <c r="C228" s="8" t="s">
        <v>475</v>
      </c>
      <c r="D228" s="2" t="s">
        <v>31</v>
      </c>
      <c r="E228" s="6" t="s">
        <v>291</v>
      </c>
      <c r="F228" s="2" t="s">
        <v>39</v>
      </c>
      <c r="G228" s="2" t="s">
        <v>21</v>
      </c>
      <c r="H228" s="2" t="s">
        <v>42</v>
      </c>
      <c r="I228" s="2" t="s">
        <v>43</v>
      </c>
      <c r="J228" s="2" t="s">
        <v>45</v>
      </c>
      <c r="K228" s="2" t="s">
        <v>46</v>
      </c>
      <c r="L228" s="2" t="s">
        <v>47</v>
      </c>
      <c r="M228" s="8" t="s">
        <v>474</v>
      </c>
      <c r="O228" s="5" t="str">
        <f t="shared" si="1"/>
        <v>Patrika Jaunpur
Link: https://www.patrika.com/jaunpur-news
RSS Link: https://cms.patrika.com/blog/location/jaunpur-news/feed/</v>
      </c>
    </row>
    <row r="229">
      <c r="A229" s="2" t="s">
        <v>2</v>
      </c>
      <c r="B229" s="6" t="s">
        <v>1018</v>
      </c>
      <c r="C229" s="8" t="s">
        <v>481</v>
      </c>
      <c r="D229" s="2" t="s">
        <v>31</v>
      </c>
      <c r="E229" s="6" t="s">
        <v>478</v>
      </c>
      <c r="F229" s="2" t="s">
        <v>39</v>
      </c>
      <c r="G229" s="2" t="s">
        <v>21</v>
      </c>
      <c r="H229" s="2" t="s">
        <v>42</v>
      </c>
      <c r="I229" s="2" t="s">
        <v>43</v>
      </c>
      <c r="J229" s="2" t="s">
        <v>45</v>
      </c>
      <c r="K229" s="2" t="s">
        <v>46</v>
      </c>
      <c r="L229" s="2" t="s">
        <v>47</v>
      </c>
      <c r="M229" s="8" t="s">
        <v>479</v>
      </c>
      <c r="O229" s="5" t="str">
        <f t="shared" si="1"/>
        <v>Patrika Varanasi
Link: https://www.patrika.com/varanasi-news
RSS Link: https://cms.patrika.com/blog/location/varanasi-news/feed/</v>
      </c>
    </row>
    <row r="230">
      <c r="A230" s="2"/>
      <c r="B230" s="20" t="s">
        <v>1021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2"/>
      <c r="O230" s="5" t="str">
        <f t="shared" si="1"/>
        <v/>
      </c>
    </row>
    <row r="231">
      <c r="A231" s="2" t="s">
        <v>2</v>
      </c>
      <c r="B231" s="2" t="s">
        <v>898</v>
      </c>
      <c r="C231" s="19" t="s">
        <v>899</v>
      </c>
      <c r="D231" s="2" t="s">
        <v>28</v>
      </c>
      <c r="E231" s="6" t="s">
        <v>896</v>
      </c>
      <c r="F231" s="2" t="s">
        <v>39</v>
      </c>
      <c r="G231" s="2" t="s">
        <v>21</v>
      </c>
      <c r="H231" s="2" t="s">
        <v>42</v>
      </c>
      <c r="I231" s="2" t="s">
        <v>43</v>
      </c>
      <c r="J231" s="2" t="s">
        <v>45</v>
      </c>
      <c r="K231" s="2" t="s">
        <v>46</v>
      </c>
      <c r="L231" s="2" t="s">
        <v>47</v>
      </c>
      <c r="M231" s="21"/>
    </row>
    <row r="232">
      <c r="A232" s="2" t="s">
        <v>2</v>
      </c>
      <c r="B232" s="2" t="s">
        <v>903</v>
      </c>
      <c r="C232" s="8" t="s">
        <v>1025</v>
      </c>
      <c r="D232" s="2" t="s">
        <v>31</v>
      </c>
      <c r="E232" s="2" t="s">
        <v>199</v>
      </c>
      <c r="F232" s="2" t="s">
        <v>39</v>
      </c>
      <c r="G232" s="2" t="s">
        <v>21</v>
      </c>
      <c r="H232" s="2" t="s">
        <v>42</v>
      </c>
      <c r="I232" s="2" t="s">
        <v>43</v>
      </c>
      <c r="J232" s="2" t="s">
        <v>45</v>
      </c>
      <c r="K232" s="2" t="s">
        <v>46</v>
      </c>
      <c r="L232" s="2" t="s">
        <v>47</v>
      </c>
      <c r="M232" s="21"/>
    </row>
    <row r="233">
      <c r="A233" s="2" t="s">
        <v>2</v>
      </c>
      <c r="B233" s="2" t="s">
        <v>904</v>
      </c>
      <c r="C233" s="8" t="s">
        <v>905</v>
      </c>
      <c r="D233" s="2" t="s">
        <v>31</v>
      </c>
      <c r="E233" s="2" t="s">
        <v>69</v>
      </c>
      <c r="F233" s="2" t="s">
        <v>39</v>
      </c>
      <c r="G233" s="2" t="s">
        <v>21</v>
      </c>
      <c r="H233" s="2" t="s">
        <v>42</v>
      </c>
      <c r="I233" s="2" t="s">
        <v>43</v>
      </c>
      <c r="J233" s="2" t="s">
        <v>45</v>
      </c>
      <c r="K233" s="2" t="s">
        <v>46</v>
      </c>
      <c r="L233" s="2" t="s">
        <v>47</v>
      </c>
      <c r="M233" s="21"/>
    </row>
    <row r="234">
      <c r="A234" s="2" t="s">
        <v>2</v>
      </c>
      <c r="B234" s="2" t="s">
        <v>908</v>
      </c>
      <c r="C234" s="19" t="s">
        <v>909</v>
      </c>
      <c r="D234" s="2" t="s">
        <v>31</v>
      </c>
      <c r="E234" s="2" t="s">
        <v>265</v>
      </c>
      <c r="F234" s="2" t="s">
        <v>39</v>
      </c>
      <c r="G234" s="2" t="s">
        <v>21</v>
      </c>
      <c r="H234" s="2" t="s">
        <v>42</v>
      </c>
      <c r="I234" s="2" t="s">
        <v>43</v>
      </c>
      <c r="J234" s="2" t="s">
        <v>45</v>
      </c>
      <c r="K234" s="2" t="s">
        <v>46</v>
      </c>
      <c r="L234" s="2" t="s">
        <v>47</v>
      </c>
      <c r="M234" s="21"/>
    </row>
    <row r="235">
      <c r="A235" s="2" t="s">
        <v>2</v>
      </c>
      <c r="B235" s="2" t="s">
        <v>911</v>
      </c>
      <c r="C235" s="19" t="s">
        <v>912</v>
      </c>
      <c r="D235" s="2" t="s">
        <v>31</v>
      </c>
      <c r="E235" s="2" t="s">
        <v>66</v>
      </c>
      <c r="F235" s="2" t="s">
        <v>39</v>
      </c>
      <c r="G235" s="2" t="s">
        <v>21</v>
      </c>
      <c r="H235" s="2" t="s">
        <v>42</v>
      </c>
      <c r="I235" s="2" t="s">
        <v>43</v>
      </c>
      <c r="J235" s="2" t="s">
        <v>45</v>
      </c>
      <c r="K235" s="2" t="s">
        <v>46</v>
      </c>
      <c r="L235" s="2" t="s">
        <v>47</v>
      </c>
      <c r="M235" s="21"/>
    </row>
    <row r="236">
      <c r="A236" s="2" t="s">
        <v>2</v>
      </c>
      <c r="B236" s="2" t="s">
        <v>915</v>
      </c>
      <c r="C236" s="19" t="s">
        <v>916</v>
      </c>
      <c r="D236" s="2" t="s">
        <v>31</v>
      </c>
      <c r="E236" s="2" t="s">
        <v>78</v>
      </c>
      <c r="F236" s="2" t="s">
        <v>39</v>
      </c>
      <c r="G236" s="2" t="s">
        <v>21</v>
      </c>
      <c r="H236" s="2" t="s">
        <v>42</v>
      </c>
      <c r="I236" s="2" t="s">
        <v>43</v>
      </c>
      <c r="J236" s="2" t="s">
        <v>45</v>
      </c>
      <c r="K236" s="2" t="s">
        <v>46</v>
      </c>
      <c r="L236" s="2" t="s">
        <v>47</v>
      </c>
      <c r="M236" s="21"/>
    </row>
    <row r="237">
      <c r="A237" s="2" t="s">
        <v>2</v>
      </c>
      <c r="B237" s="2" t="s">
        <v>917</v>
      </c>
      <c r="C237" s="19" t="s">
        <v>918</v>
      </c>
      <c r="D237" s="2" t="s">
        <v>31</v>
      </c>
      <c r="E237" s="2" t="s">
        <v>49</v>
      </c>
      <c r="F237" s="2" t="s">
        <v>39</v>
      </c>
      <c r="G237" s="2" t="s">
        <v>21</v>
      </c>
      <c r="H237" s="2" t="s">
        <v>42</v>
      </c>
      <c r="I237" s="2" t="s">
        <v>43</v>
      </c>
      <c r="J237" s="2" t="s">
        <v>45</v>
      </c>
      <c r="K237" s="2" t="s">
        <v>46</v>
      </c>
      <c r="L237" s="2" t="s">
        <v>47</v>
      </c>
      <c r="M237" s="21"/>
    </row>
    <row r="238">
      <c r="A238" s="2" t="s">
        <v>2</v>
      </c>
      <c r="B238" s="2" t="s">
        <v>920</v>
      </c>
      <c r="C238" s="19" t="s">
        <v>921</v>
      </c>
      <c r="D238" s="2" t="s">
        <v>31</v>
      </c>
      <c r="E238" s="2" t="s">
        <v>478</v>
      </c>
      <c r="F238" s="2" t="s">
        <v>39</v>
      </c>
      <c r="G238" s="2" t="s">
        <v>21</v>
      </c>
      <c r="H238" s="2" t="s">
        <v>42</v>
      </c>
      <c r="I238" s="2" t="s">
        <v>43</v>
      </c>
      <c r="J238" s="2" t="s">
        <v>45</v>
      </c>
      <c r="K238" s="2" t="s">
        <v>46</v>
      </c>
      <c r="L238" s="2" t="s">
        <v>47</v>
      </c>
      <c r="M238" s="21"/>
    </row>
    <row r="239">
      <c r="A239" s="2" t="s">
        <v>2</v>
      </c>
      <c r="B239" s="2" t="s">
        <v>922</v>
      </c>
      <c r="C239" s="19" t="s">
        <v>923</v>
      </c>
      <c r="D239" s="2" t="s">
        <v>31</v>
      </c>
      <c r="E239" s="2" t="s">
        <v>124</v>
      </c>
      <c r="F239" s="2" t="s">
        <v>39</v>
      </c>
      <c r="G239" s="2" t="s">
        <v>21</v>
      </c>
      <c r="H239" s="2" t="s">
        <v>42</v>
      </c>
      <c r="I239" s="2" t="s">
        <v>43</v>
      </c>
      <c r="J239" s="2" t="s">
        <v>45</v>
      </c>
      <c r="K239" s="2" t="s">
        <v>46</v>
      </c>
      <c r="L239" s="2" t="s">
        <v>47</v>
      </c>
      <c r="M239" s="21"/>
    </row>
    <row r="240">
      <c r="A240" s="2" t="s">
        <v>2</v>
      </c>
      <c r="B240" s="2" t="s">
        <v>925</v>
      </c>
      <c r="C240" s="19" t="s">
        <v>926</v>
      </c>
      <c r="D240" s="2" t="s">
        <v>31</v>
      </c>
      <c r="E240" s="2" t="s">
        <v>405</v>
      </c>
      <c r="F240" s="2" t="s">
        <v>39</v>
      </c>
      <c r="G240" s="2" t="s">
        <v>21</v>
      </c>
      <c r="H240" s="2" t="s">
        <v>42</v>
      </c>
      <c r="I240" s="2" t="s">
        <v>43</v>
      </c>
      <c r="J240" s="2" t="s">
        <v>45</v>
      </c>
      <c r="K240" s="2" t="s">
        <v>46</v>
      </c>
      <c r="L240" s="2" t="s">
        <v>47</v>
      </c>
      <c r="M240" s="21"/>
    </row>
    <row r="241">
      <c r="A241" s="2" t="s">
        <v>2</v>
      </c>
      <c r="B241" s="2" t="s">
        <v>927</v>
      </c>
      <c r="C241" s="19" t="s">
        <v>928</v>
      </c>
      <c r="D241" s="2" t="s">
        <v>31</v>
      </c>
      <c r="E241" s="2" t="s">
        <v>164</v>
      </c>
      <c r="F241" s="2" t="s">
        <v>39</v>
      </c>
      <c r="G241" s="2" t="s">
        <v>21</v>
      </c>
      <c r="H241" s="2" t="s">
        <v>42</v>
      </c>
      <c r="I241" s="2" t="s">
        <v>43</v>
      </c>
      <c r="J241" s="2" t="s">
        <v>45</v>
      </c>
      <c r="K241" s="2" t="s">
        <v>46</v>
      </c>
      <c r="L241" s="2" t="s">
        <v>47</v>
      </c>
      <c r="M241" s="21"/>
    </row>
    <row r="242">
      <c r="A242" s="2" t="s">
        <v>2</v>
      </c>
      <c r="B242" s="2" t="s">
        <v>930</v>
      </c>
      <c r="C242" s="19" t="s">
        <v>931</v>
      </c>
      <c r="D242" s="2" t="s">
        <v>31</v>
      </c>
      <c r="E242" s="2" t="s">
        <v>434</v>
      </c>
      <c r="F242" s="2" t="s">
        <v>39</v>
      </c>
      <c r="G242" s="2" t="s">
        <v>21</v>
      </c>
      <c r="H242" s="2" t="s">
        <v>42</v>
      </c>
      <c r="I242" s="2" t="s">
        <v>43</v>
      </c>
      <c r="J242" s="2" t="s">
        <v>45</v>
      </c>
      <c r="K242" s="2" t="s">
        <v>46</v>
      </c>
      <c r="L242" s="2" t="s">
        <v>47</v>
      </c>
      <c r="M242" s="21"/>
    </row>
    <row r="243">
      <c r="A243" s="2" t="s">
        <v>2</v>
      </c>
      <c r="B243" s="2" t="s">
        <v>932</v>
      </c>
      <c r="C243" s="8" t="s">
        <v>933</v>
      </c>
      <c r="D243" s="2" t="s">
        <v>31</v>
      </c>
      <c r="E243" s="2" t="s">
        <v>184</v>
      </c>
      <c r="F243" s="2" t="s">
        <v>39</v>
      </c>
      <c r="G243" s="2" t="s">
        <v>21</v>
      </c>
      <c r="H243" s="2" t="s">
        <v>42</v>
      </c>
      <c r="I243" s="2" t="s">
        <v>43</v>
      </c>
      <c r="J243" s="2" t="s">
        <v>45</v>
      </c>
      <c r="K243" s="2" t="s">
        <v>46</v>
      </c>
      <c r="L243" s="2" t="s">
        <v>47</v>
      </c>
      <c r="M243" s="21"/>
    </row>
    <row r="244">
      <c r="A244" s="2" t="s">
        <v>2</v>
      </c>
      <c r="B244" s="2" t="s">
        <v>935</v>
      </c>
      <c r="C244" s="19" t="s">
        <v>936</v>
      </c>
      <c r="D244" s="2" t="s">
        <v>31</v>
      </c>
      <c r="E244" s="2" t="s">
        <v>390</v>
      </c>
      <c r="F244" s="2" t="s">
        <v>39</v>
      </c>
      <c r="G244" s="2" t="s">
        <v>21</v>
      </c>
      <c r="H244" s="2" t="s">
        <v>42</v>
      </c>
      <c r="I244" s="2" t="s">
        <v>43</v>
      </c>
      <c r="J244" s="2" t="s">
        <v>45</v>
      </c>
      <c r="K244" s="2" t="s">
        <v>46</v>
      </c>
      <c r="L244" s="2" t="s">
        <v>47</v>
      </c>
      <c r="M244" s="21"/>
    </row>
    <row r="245">
      <c r="A245" s="2" t="s">
        <v>2</v>
      </c>
      <c r="B245" s="2" t="s">
        <v>938</v>
      </c>
      <c r="C245" s="19" t="s">
        <v>939</v>
      </c>
      <c r="D245" s="2" t="s">
        <v>31</v>
      </c>
      <c r="E245" s="2" t="s">
        <v>372</v>
      </c>
      <c r="F245" s="2" t="s">
        <v>39</v>
      </c>
      <c r="G245" s="2" t="s">
        <v>21</v>
      </c>
      <c r="H245" s="2" t="s">
        <v>42</v>
      </c>
      <c r="I245" s="2" t="s">
        <v>43</v>
      </c>
      <c r="J245" s="2" t="s">
        <v>45</v>
      </c>
      <c r="K245" s="2" t="s">
        <v>46</v>
      </c>
      <c r="L245" s="2" t="s">
        <v>47</v>
      </c>
      <c r="M245" s="21"/>
    </row>
    <row r="246">
      <c r="A246" s="2" t="s">
        <v>2</v>
      </c>
      <c r="B246" s="2" t="s">
        <v>949</v>
      </c>
      <c r="C246" s="8" t="s">
        <v>1061</v>
      </c>
      <c r="D246" s="2" t="s">
        <v>31</v>
      </c>
      <c r="E246" s="2" t="s">
        <v>104</v>
      </c>
      <c r="F246" s="2" t="s">
        <v>39</v>
      </c>
      <c r="G246" s="2" t="s">
        <v>21</v>
      </c>
      <c r="H246" s="2" t="s">
        <v>42</v>
      </c>
      <c r="I246" s="2" t="s">
        <v>43</v>
      </c>
      <c r="J246" s="2" t="s">
        <v>598</v>
      </c>
      <c r="K246" s="2" t="s">
        <v>46</v>
      </c>
      <c r="L246" s="2" t="s">
        <v>47</v>
      </c>
      <c r="M246" s="2"/>
    </row>
    <row r="247">
      <c r="A247" s="2" t="s">
        <v>2</v>
      </c>
      <c r="B247" s="2" t="s">
        <v>951</v>
      </c>
      <c r="C247" s="19" t="s">
        <v>952</v>
      </c>
      <c r="D247" s="2" t="s">
        <v>31</v>
      </c>
      <c r="E247" s="2" t="s">
        <v>92</v>
      </c>
      <c r="F247" s="2" t="s">
        <v>39</v>
      </c>
      <c r="G247" s="2" t="s">
        <v>21</v>
      </c>
      <c r="H247" s="2" t="s">
        <v>42</v>
      </c>
      <c r="I247" s="2" t="s">
        <v>43</v>
      </c>
      <c r="J247" s="2" t="s">
        <v>598</v>
      </c>
      <c r="K247" s="2" t="s">
        <v>46</v>
      </c>
      <c r="L247" s="2" t="s">
        <v>47</v>
      </c>
      <c r="M247" s="2"/>
    </row>
    <row r="248">
      <c r="A248" s="2" t="s">
        <v>2</v>
      </c>
      <c r="B248" s="2" t="s">
        <v>953</v>
      </c>
      <c r="C248" s="19" t="s">
        <v>1067</v>
      </c>
      <c r="D248" s="2" t="s">
        <v>31</v>
      </c>
      <c r="E248" s="2" t="s">
        <v>84</v>
      </c>
      <c r="F248" s="2" t="s">
        <v>39</v>
      </c>
      <c r="G248" s="2" t="s">
        <v>21</v>
      </c>
      <c r="H248" s="2" t="s">
        <v>42</v>
      </c>
      <c r="I248" s="2" t="s">
        <v>43</v>
      </c>
      <c r="J248" s="2" t="s">
        <v>598</v>
      </c>
      <c r="K248" s="2" t="s">
        <v>46</v>
      </c>
      <c r="L248" s="2" t="s">
        <v>47</v>
      </c>
      <c r="M248" s="2"/>
    </row>
    <row r="249">
      <c r="A249" s="2" t="s">
        <v>2</v>
      </c>
      <c r="B249" s="2" t="s">
        <v>955</v>
      </c>
      <c r="C249" s="19" t="s">
        <v>956</v>
      </c>
      <c r="D249" s="2" t="s">
        <v>31</v>
      </c>
      <c r="E249" s="2" t="s">
        <v>181</v>
      </c>
      <c r="F249" s="2" t="s">
        <v>39</v>
      </c>
      <c r="G249" s="2" t="s">
        <v>21</v>
      </c>
      <c r="H249" s="2" t="s">
        <v>42</v>
      </c>
      <c r="I249" s="2" t="s">
        <v>43</v>
      </c>
      <c r="J249" s="2" t="s">
        <v>598</v>
      </c>
      <c r="K249" s="2" t="s">
        <v>46</v>
      </c>
      <c r="L249" s="2" t="s">
        <v>47</v>
      </c>
      <c r="M249" s="2"/>
    </row>
    <row r="250">
      <c r="A250" s="2" t="s">
        <v>2</v>
      </c>
      <c r="B250" s="2" t="s">
        <v>958</v>
      </c>
      <c r="C250" s="19" t="s">
        <v>1071</v>
      </c>
      <c r="D250" s="2" t="s">
        <v>31</v>
      </c>
      <c r="E250" s="2" t="s">
        <v>142</v>
      </c>
      <c r="F250" s="2" t="s">
        <v>39</v>
      </c>
      <c r="G250" s="2" t="s">
        <v>21</v>
      </c>
      <c r="H250" s="2" t="s">
        <v>42</v>
      </c>
      <c r="I250" s="2" t="s">
        <v>43</v>
      </c>
      <c r="J250" s="2" t="s">
        <v>598</v>
      </c>
      <c r="K250" s="2" t="s">
        <v>46</v>
      </c>
      <c r="L250" s="2" t="s">
        <v>47</v>
      </c>
      <c r="M250" s="2"/>
    </row>
    <row r="251">
      <c r="A251" s="2" t="s">
        <v>2</v>
      </c>
      <c r="B251" s="2" t="s">
        <v>959</v>
      </c>
      <c r="C251" s="8" t="s">
        <v>1072</v>
      </c>
      <c r="D251" s="2" t="s">
        <v>31</v>
      </c>
      <c r="E251" s="2" t="s">
        <v>706</v>
      </c>
      <c r="F251" s="2" t="s">
        <v>39</v>
      </c>
      <c r="G251" s="2" t="s">
        <v>21</v>
      </c>
      <c r="H251" s="2" t="s">
        <v>42</v>
      </c>
      <c r="I251" s="2" t="s">
        <v>43</v>
      </c>
      <c r="J251" s="2" t="s">
        <v>598</v>
      </c>
      <c r="K251" s="2" t="s">
        <v>46</v>
      </c>
      <c r="L251" s="2" t="s">
        <v>47</v>
      </c>
      <c r="M251" s="2"/>
    </row>
    <row r="252">
      <c r="A252" s="2" t="s">
        <v>2</v>
      </c>
      <c r="B252" s="2" t="s">
        <v>960</v>
      </c>
      <c r="C252" s="19" t="s">
        <v>961</v>
      </c>
      <c r="D252" s="2" t="s">
        <v>31</v>
      </c>
      <c r="E252" s="2" t="s">
        <v>421</v>
      </c>
      <c r="F252" s="2" t="s">
        <v>39</v>
      </c>
      <c r="G252" s="2" t="s">
        <v>21</v>
      </c>
      <c r="H252" s="2" t="s">
        <v>42</v>
      </c>
      <c r="I252" s="2" t="s">
        <v>43</v>
      </c>
      <c r="J252" s="2" t="s">
        <v>598</v>
      </c>
      <c r="K252" s="2" t="s">
        <v>46</v>
      </c>
      <c r="L252" s="2" t="s">
        <v>47</v>
      </c>
      <c r="M252" s="2"/>
    </row>
    <row r="253">
      <c r="A253" s="2" t="s">
        <v>2</v>
      </c>
      <c r="B253" s="2" t="s">
        <v>965</v>
      </c>
      <c r="C253" s="19" t="s">
        <v>1077</v>
      </c>
      <c r="D253" s="2" t="s">
        <v>31</v>
      </c>
      <c r="E253" s="2" t="s">
        <v>233</v>
      </c>
      <c r="F253" s="2" t="s">
        <v>39</v>
      </c>
      <c r="G253" s="2" t="s">
        <v>21</v>
      </c>
      <c r="H253" s="2" t="s">
        <v>42</v>
      </c>
      <c r="I253" s="2" t="s">
        <v>43</v>
      </c>
      <c r="J253" s="2" t="s">
        <v>598</v>
      </c>
      <c r="K253" s="2" t="s">
        <v>46</v>
      </c>
      <c r="L253" s="2" t="s">
        <v>47</v>
      </c>
      <c r="M253" s="2"/>
    </row>
    <row r="254">
      <c r="A254" s="2" t="s">
        <v>2</v>
      </c>
      <c r="B254" s="2" t="s">
        <v>966</v>
      </c>
      <c r="C254" s="19" t="s">
        <v>967</v>
      </c>
      <c r="D254" s="2" t="s">
        <v>31</v>
      </c>
      <c r="E254" s="2" t="s">
        <v>1082</v>
      </c>
      <c r="F254" s="2" t="s">
        <v>39</v>
      </c>
      <c r="G254" s="2" t="s">
        <v>21</v>
      </c>
      <c r="H254" s="2" t="s">
        <v>42</v>
      </c>
      <c r="I254" s="2" t="s">
        <v>43</v>
      </c>
      <c r="J254" s="2" t="s">
        <v>598</v>
      </c>
      <c r="K254" s="2" t="s">
        <v>46</v>
      </c>
      <c r="L254" s="2" t="s">
        <v>47</v>
      </c>
      <c r="M254" s="2"/>
    </row>
    <row r="255">
      <c r="A255" s="2" t="s">
        <v>2</v>
      </c>
      <c r="B255" s="2" t="s">
        <v>970</v>
      </c>
      <c r="C255" s="19" t="s">
        <v>1085</v>
      </c>
      <c r="D255" s="2" t="s">
        <v>31</v>
      </c>
      <c r="E255" s="2" t="s">
        <v>240</v>
      </c>
      <c r="F255" s="2" t="s">
        <v>39</v>
      </c>
      <c r="G255" s="2" t="s">
        <v>21</v>
      </c>
      <c r="H255" s="2" t="s">
        <v>42</v>
      </c>
      <c r="I255" s="2" t="s">
        <v>43</v>
      </c>
      <c r="J255" s="2" t="s">
        <v>598</v>
      </c>
      <c r="K255" s="2" t="s">
        <v>46</v>
      </c>
      <c r="L255" s="2" t="s">
        <v>47</v>
      </c>
      <c r="M255" s="2"/>
    </row>
    <row r="256">
      <c r="A256" s="2" t="s">
        <v>2</v>
      </c>
      <c r="B256" s="2" t="s">
        <v>972</v>
      </c>
      <c r="C256" s="19" t="s">
        <v>973</v>
      </c>
      <c r="D256" s="2" t="s">
        <v>31</v>
      </c>
      <c r="E256" s="2" t="s">
        <v>211</v>
      </c>
      <c r="F256" s="2" t="s">
        <v>39</v>
      </c>
      <c r="G256" s="2" t="s">
        <v>21</v>
      </c>
      <c r="H256" s="2" t="s">
        <v>42</v>
      </c>
      <c r="I256" s="2" t="s">
        <v>43</v>
      </c>
      <c r="J256" s="2" t="s">
        <v>598</v>
      </c>
      <c r="K256" s="2" t="s">
        <v>46</v>
      </c>
      <c r="L256" s="2" t="s">
        <v>47</v>
      </c>
      <c r="M256" s="2"/>
    </row>
    <row r="257">
      <c r="A257" s="2" t="s">
        <v>2</v>
      </c>
      <c r="B257" s="2" t="s">
        <v>975</v>
      </c>
      <c r="C257" s="19" t="s">
        <v>976</v>
      </c>
      <c r="D257" s="2" t="s">
        <v>31</v>
      </c>
      <c r="E257" s="2" t="s">
        <v>270</v>
      </c>
      <c r="F257" s="2" t="s">
        <v>39</v>
      </c>
      <c r="G257" s="2" t="s">
        <v>21</v>
      </c>
      <c r="H257" s="2" t="s">
        <v>42</v>
      </c>
      <c r="I257" s="2" t="s">
        <v>43</v>
      </c>
      <c r="J257" s="2" t="s">
        <v>598</v>
      </c>
      <c r="K257" s="2" t="s">
        <v>46</v>
      </c>
      <c r="L257" s="2" t="s">
        <v>47</v>
      </c>
      <c r="M257" s="2"/>
    </row>
    <row r="258">
      <c r="A258" s="2" t="s">
        <v>2</v>
      </c>
      <c r="B258" s="2" t="s">
        <v>979</v>
      </c>
      <c r="C258" s="19" t="s">
        <v>928</v>
      </c>
      <c r="D258" s="2" t="s">
        <v>31</v>
      </c>
      <c r="E258" s="2" t="s">
        <v>164</v>
      </c>
      <c r="F258" s="2" t="s">
        <v>39</v>
      </c>
      <c r="G258" s="2" t="s">
        <v>21</v>
      </c>
      <c r="H258" s="2" t="s">
        <v>42</v>
      </c>
      <c r="I258" s="2" t="s">
        <v>43</v>
      </c>
      <c r="J258" s="2" t="s">
        <v>598</v>
      </c>
      <c r="K258" s="2" t="s">
        <v>46</v>
      </c>
      <c r="L258" s="2" t="s">
        <v>47</v>
      </c>
      <c r="M258" s="2"/>
    </row>
    <row r="259">
      <c r="A259" s="2" t="s">
        <v>2</v>
      </c>
      <c r="B259" s="2" t="s">
        <v>981</v>
      </c>
      <c r="C259" s="19" t="s">
        <v>982</v>
      </c>
      <c r="D259" s="2" t="s">
        <v>31</v>
      </c>
      <c r="E259" s="2" t="s">
        <v>193</v>
      </c>
      <c r="F259" s="2" t="s">
        <v>39</v>
      </c>
      <c r="G259" s="2" t="s">
        <v>21</v>
      </c>
      <c r="H259" s="2" t="s">
        <v>42</v>
      </c>
      <c r="I259" s="2" t="s">
        <v>43</v>
      </c>
      <c r="J259" s="2" t="s">
        <v>598</v>
      </c>
      <c r="K259" s="2" t="s">
        <v>46</v>
      </c>
      <c r="L259" s="2" t="s">
        <v>47</v>
      </c>
      <c r="M259" s="2"/>
    </row>
    <row r="260">
      <c r="A260" s="2" t="s">
        <v>2</v>
      </c>
      <c r="B260" s="2" t="s">
        <v>983</v>
      </c>
      <c r="C260" s="19" t="s">
        <v>984</v>
      </c>
      <c r="D260" s="2" t="s">
        <v>31</v>
      </c>
      <c r="E260" s="2" t="s">
        <v>411</v>
      </c>
      <c r="F260" s="2" t="s">
        <v>39</v>
      </c>
      <c r="G260" s="2" t="s">
        <v>21</v>
      </c>
      <c r="H260" s="2" t="s">
        <v>42</v>
      </c>
      <c r="I260" s="2" t="s">
        <v>43</v>
      </c>
      <c r="J260" s="2" t="s">
        <v>598</v>
      </c>
      <c r="K260" s="2" t="s">
        <v>46</v>
      </c>
      <c r="L260" s="2" t="s">
        <v>47</v>
      </c>
      <c r="M260" s="2"/>
    </row>
    <row r="261">
      <c r="A261" s="2" t="s">
        <v>2</v>
      </c>
      <c r="B261" s="2" t="s">
        <v>987</v>
      </c>
      <c r="C261" s="8" t="s">
        <v>988</v>
      </c>
      <c r="D261" s="2" t="s">
        <v>31</v>
      </c>
      <c r="E261" s="2" t="s">
        <v>429</v>
      </c>
      <c r="F261" s="2" t="s">
        <v>39</v>
      </c>
      <c r="G261" s="2" t="s">
        <v>21</v>
      </c>
      <c r="H261" s="2" t="s">
        <v>42</v>
      </c>
      <c r="I261" s="2" t="s">
        <v>43</v>
      </c>
      <c r="J261" s="2" t="s">
        <v>598</v>
      </c>
      <c r="K261" s="2" t="s">
        <v>46</v>
      </c>
      <c r="L261" s="2" t="s">
        <v>47</v>
      </c>
      <c r="M261" s="22"/>
    </row>
    <row r="262">
      <c r="A262" s="2" t="s">
        <v>2</v>
      </c>
      <c r="B262" s="2" t="s">
        <v>991</v>
      </c>
      <c r="C262" s="8" t="s">
        <v>1096</v>
      </c>
      <c r="D262" s="2" t="s">
        <v>31</v>
      </c>
      <c r="E262" s="2" t="s">
        <v>258</v>
      </c>
      <c r="F262" s="2" t="s">
        <v>39</v>
      </c>
      <c r="G262" s="2" t="s">
        <v>21</v>
      </c>
      <c r="H262" s="2" t="s">
        <v>42</v>
      </c>
      <c r="I262" s="2" t="s">
        <v>43</v>
      </c>
      <c r="J262" s="2" t="s">
        <v>598</v>
      </c>
      <c r="K262" s="2" t="s">
        <v>46</v>
      </c>
      <c r="L262" s="2" t="s">
        <v>47</v>
      </c>
      <c r="M262" s="2"/>
    </row>
    <row r="263">
      <c r="A263" s="2" t="s">
        <v>2</v>
      </c>
      <c r="B263" s="2" t="s">
        <v>993</v>
      </c>
      <c r="C263" s="19" t="s">
        <v>994</v>
      </c>
      <c r="D263" s="2" t="s">
        <v>31</v>
      </c>
      <c r="E263" s="2" t="s">
        <v>218</v>
      </c>
      <c r="F263" s="2" t="s">
        <v>39</v>
      </c>
      <c r="G263" s="2" t="s">
        <v>21</v>
      </c>
      <c r="H263" s="2" t="s">
        <v>42</v>
      </c>
      <c r="I263" s="2" t="s">
        <v>43</v>
      </c>
      <c r="J263" s="2" t="s">
        <v>598</v>
      </c>
      <c r="K263" s="2" t="s">
        <v>46</v>
      </c>
      <c r="L263" s="2" t="s">
        <v>47</v>
      </c>
      <c r="M263" s="2"/>
    </row>
    <row r="264">
      <c r="A264" s="2" t="s">
        <v>2</v>
      </c>
      <c r="B264" s="2" t="s">
        <v>995</v>
      </c>
      <c r="C264" s="8" t="s">
        <v>1102</v>
      </c>
      <c r="D264" s="2" t="s">
        <v>31</v>
      </c>
      <c r="E264" s="2" t="s">
        <v>283</v>
      </c>
      <c r="F264" s="2" t="s">
        <v>39</v>
      </c>
      <c r="G264" s="2" t="s">
        <v>21</v>
      </c>
      <c r="H264" s="2" t="s">
        <v>42</v>
      </c>
      <c r="I264" s="2" t="s">
        <v>43</v>
      </c>
      <c r="J264" s="2" t="s">
        <v>598</v>
      </c>
      <c r="K264" s="2" t="s">
        <v>46</v>
      </c>
      <c r="L264" s="2" t="s">
        <v>47</v>
      </c>
      <c r="M264" s="2"/>
    </row>
    <row r="265">
      <c r="A265" s="2" t="s">
        <v>2</v>
      </c>
      <c r="B265" s="2" t="s">
        <v>997</v>
      </c>
      <c r="C265" s="8" t="s">
        <v>1106</v>
      </c>
      <c r="D265" s="2" t="s">
        <v>31</v>
      </c>
      <c r="E265" s="2" t="s">
        <v>86</v>
      </c>
      <c r="F265" s="2" t="s">
        <v>39</v>
      </c>
      <c r="G265" s="2" t="s">
        <v>21</v>
      </c>
      <c r="H265" s="2" t="s">
        <v>42</v>
      </c>
      <c r="I265" s="2" t="s">
        <v>43</v>
      </c>
      <c r="J265" s="2" t="s">
        <v>598</v>
      </c>
      <c r="K265" s="2" t="s">
        <v>46</v>
      </c>
      <c r="L265" s="2" t="s">
        <v>47</v>
      </c>
      <c r="M265" s="2"/>
    </row>
    <row r="266">
      <c r="A266" s="2" t="s">
        <v>2</v>
      </c>
      <c r="B266" s="2" t="s">
        <v>998</v>
      </c>
      <c r="C266" s="19" t="s">
        <v>999</v>
      </c>
      <c r="D266" s="2" t="s">
        <v>31</v>
      </c>
      <c r="E266" s="2" t="s">
        <v>95</v>
      </c>
      <c r="F266" s="2" t="s">
        <v>39</v>
      </c>
      <c r="G266" s="2" t="s">
        <v>21</v>
      </c>
      <c r="H266" s="2" t="s">
        <v>42</v>
      </c>
      <c r="I266" s="2" t="s">
        <v>43</v>
      </c>
      <c r="J266" s="2" t="s">
        <v>598</v>
      </c>
      <c r="K266" s="2" t="s">
        <v>46</v>
      </c>
      <c r="L266" s="2" t="s">
        <v>47</v>
      </c>
      <c r="M266" s="2"/>
    </row>
    <row r="267">
      <c r="A267" s="2" t="s">
        <v>2</v>
      </c>
      <c r="B267" s="2" t="s">
        <v>1001</v>
      </c>
      <c r="C267" s="19" t="s">
        <v>1002</v>
      </c>
      <c r="D267" s="2" t="s">
        <v>31</v>
      </c>
      <c r="E267" s="2" t="s">
        <v>322</v>
      </c>
      <c r="F267" s="2" t="s">
        <v>39</v>
      </c>
      <c r="G267" s="2" t="s">
        <v>21</v>
      </c>
      <c r="H267" s="2" t="s">
        <v>42</v>
      </c>
      <c r="I267" s="2" t="s">
        <v>43</v>
      </c>
      <c r="J267" s="2" t="s">
        <v>598</v>
      </c>
      <c r="K267" s="2" t="s">
        <v>46</v>
      </c>
      <c r="L267" s="2" t="s">
        <v>47</v>
      </c>
      <c r="M267" s="2"/>
    </row>
    <row r="268">
      <c r="A268" s="2" t="s">
        <v>2</v>
      </c>
      <c r="B268" s="2" t="s">
        <v>1004</v>
      </c>
      <c r="C268" s="19" t="s">
        <v>1005</v>
      </c>
      <c r="D268" s="2" t="s">
        <v>31</v>
      </c>
      <c r="E268" s="2" t="s">
        <v>130</v>
      </c>
      <c r="F268" s="2" t="s">
        <v>39</v>
      </c>
      <c r="G268" s="2" t="s">
        <v>21</v>
      </c>
      <c r="H268" s="2" t="s">
        <v>42</v>
      </c>
      <c r="I268" s="2" t="s">
        <v>43</v>
      </c>
      <c r="J268" s="2" t="s">
        <v>598</v>
      </c>
      <c r="K268" s="2" t="s">
        <v>46</v>
      </c>
      <c r="L268" s="2" t="s">
        <v>47</v>
      </c>
      <c r="M268" s="2"/>
    </row>
    <row r="269">
      <c r="A269" s="2" t="s">
        <v>2</v>
      </c>
      <c r="B269" s="2" t="s">
        <v>1006</v>
      </c>
      <c r="C269" s="19" t="s">
        <v>1108</v>
      </c>
      <c r="D269" s="2" t="s">
        <v>31</v>
      </c>
      <c r="E269" s="2" t="s">
        <v>56</v>
      </c>
      <c r="F269" s="2" t="s">
        <v>39</v>
      </c>
      <c r="G269" s="2" t="s">
        <v>21</v>
      </c>
      <c r="H269" s="2" t="s">
        <v>42</v>
      </c>
      <c r="I269" s="2" t="s">
        <v>43</v>
      </c>
      <c r="J269" s="2" t="s">
        <v>598</v>
      </c>
      <c r="K269" s="2" t="s">
        <v>46</v>
      </c>
      <c r="L269" s="2" t="s">
        <v>47</v>
      </c>
      <c r="M269" s="2"/>
    </row>
    <row r="270">
      <c r="A270" s="2" t="s">
        <v>2</v>
      </c>
      <c r="B270" s="2" t="s">
        <v>1008</v>
      </c>
      <c r="C270" s="19" t="s">
        <v>1009</v>
      </c>
      <c r="D270" s="2" t="s">
        <v>31</v>
      </c>
      <c r="E270" s="2" t="s">
        <v>231</v>
      </c>
      <c r="F270" s="2" t="s">
        <v>39</v>
      </c>
      <c r="G270" s="2" t="s">
        <v>21</v>
      </c>
      <c r="H270" s="2" t="s">
        <v>42</v>
      </c>
      <c r="I270" s="2" t="s">
        <v>43</v>
      </c>
      <c r="J270" s="2" t="s">
        <v>598</v>
      </c>
      <c r="K270" s="2" t="s">
        <v>46</v>
      </c>
      <c r="L270" s="2" t="s">
        <v>47</v>
      </c>
      <c r="M270" s="2"/>
    </row>
    <row r="271">
      <c r="A271" s="2" t="s">
        <v>2</v>
      </c>
      <c r="B271" s="2" t="s">
        <v>1010</v>
      </c>
      <c r="C271" s="19" t="s">
        <v>1011</v>
      </c>
      <c r="D271" s="2" t="s">
        <v>31</v>
      </c>
      <c r="E271" s="2" t="s">
        <v>238</v>
      </c>
      <c r="F271" s="2" t="s">
        <v>39</v>
      </c>
      <c r="G271" s="2" t="s">
        <v>21</v>
      </c>
      <c r="H271" s="2" t="s">
        <v>42</v>
      </c>
      <c r="I271" s="2" t="s">
        <v>43</v>
      </c>
      <c r="J271" s="2" t="s">
        <v>598</v>
      </c>
      <c r="K271" s="2" t="s">
        <v>46</v>
      </c>
      <c r="L271" s="2" t="s">
        <v>47</v>
      </c>
      <c r="M271" s="2"/>
    </row>
    <row r="272">
      <c r="A272" s="2" t="s">
        <v>2</v>
      </c>
      <c r="B272" s="2" t="s">
        <v>1014</v>
      </c>
      <c r="C272" s="19" t="s">
        <v>1015</v>
      </c>
      <c r="D272" s="2" t="s">
        <v>31</v>
      </c>
      <c r="E272" s="2" t="s">
        <v>222</v>
      </c>
      <c r="F272" s="2" t="s">
        <v>39</v>
      </c>
      <c r="G272" s="2" t="s">
        <v>21</v>
      </c>
      <c r="H272" s="2" t="s">
        <v>42</v>
      </c>
      <c r="I272" s="2" t="s">
        <v>43</v>
      </c>
      <c r="J272" s="2" t="s">
        <v>598</v>
      </c>
      <c r="K272" s="2" t="s">
        <v>46</v>
      </c>
      <c r="L272" s="2" t="s">
        <v>47</v>
      </c>
      <c r="M272" s="2"/>
    </row>
    <row r="273">
      <c r="A273" s="2" t="s">
        <v>2</v>
      </c>
      <c r="B273" s="2" t="s">
        <v>1016</v>
      </c>
      <c r="C273" s="19" t="s">
        <v>1017</v>
      </c>
      <c r="D273" s="2" t="s">
        <v>31</v>
      </c>
      <c r="E273" s="2" t="s">
        <v>401</v>
      </c>
      <c r="F273" s="2" t="s">
        <v>39</v>
      </c>
      <c r="G273" s="2" t="s">
        <v>21</v>
      </c>
      <c r="H273" s="2" t="s">
        <v>42</v>
      </c>
      <c r="I273" s="2" t="s">
        <v>43</v>
      </c>
      <c r="J273" s="2" t="s">
        <v>598</v>
      </c>
      <c r="K273" s="2" t="s">
        <v>46</v>
      </c>
      <c r="L273" s="2" t="s">
        <v>47</v>
      </c>
      <c r="M273" s="2"/>
    </row>
    <row r="274">
      <c r="A274" s="2" t="s">
        <v>2</v>
      </c>
      <c r="B274" s="2" t="s">
        <v>1019</v>
      </c>
      <c r="C274" s="19" t="s">
        <v>1020</v>
      </c>
      <c r="D274" s="2" t="s">
        <v>31</v>
      </c>
      <c r="E274" s="2" t="s">
        <v>338</v>
      </c>
      <c r="F274" s="2" t="s">
        <v>39</v>
      </c>
      <c r="G274" s="2" t="s">
        <v>21</v>
      </c>
      <c r="H274" s="2" t="s">
        <v>42</v>
      </c>
      <c r="I274" s="2" t="s">
        <v>43</v>
      </c>
      <c r="J274" s="2" t="s">
        <v>598</v>
      </c>
      <c r="K274" s="2" t="s">
        <v>46</v>
      </c>
      <c r="L274" s="2" t="s">
        <v>47</v>
      </c>
      <c r="M274" s="2"/>
    </row>
    <row r="275">
      <c r="A275" s="2" t="s">
        <v>2</v>
      </c>
      <c r="B275" s="2" t="s">
        <v>1022</v>
      </c>
      <c r="C275" s="19" t="s">
        <v>1109</v>
      </c>
      <c r="D275" s="2" t="s">
        <v>31</v>
      </c>
      <c r="E275" s="2" t="s">
        <v>101</v>
      </c>
      <c r="F275" s="2" t="s">
        <v>39</v>
      </c>
      <c r="G275" s="2" t="s">
        <v>21</v>
      </c>
      <c r="H275" s="2" t="s">
        <v>42</v>
      </c>
      <c r="I275" s="2" t="s">
        <v>43</v>
      </c>
      <c r="J275" s="2" t="s">
        <v>598</v>
      </c>
      <c r="K275" s="2" t="s">
        <v>46</v>
      </c>
      <c r="L275" s="2" t="s">
        <v>47</v>
      </c>
      <c r="M275" s="2"/>
    </row>
    <row r="276">
      <c r="A276" s="2" t="s">
        <v>2</v>
      </c>
      <c r="B276" s="2" t="s">
        <v>1023</v>
      </c>
      <c r="C276" s="19" t="s">
        <v>1024</v>
      </c>
      <c r="D276" s="2" t="s">
        <v>31</v>
      </c>
      <c r="E276" s="2" t="s">
        <v>291</v>
      </c>
      <c r="F276" s="2" t="s">
        <v>39</v>
      </c>
      <c r="G276" s="2" t="s">
        <v>21</v>
      </c>
      <c r="H276" s="2" t="s">
        <v>42</v>
      </c>
      <c r="I276" s="2" t="s">
        <v>43</v>
      </c>
      <c r="J276" s="2" t="s">
        <v>598</v>
      </c>
      <c r="K276" s="2" t="s">
        <v>46</v>
      </c>
      <c r="L276" s="2" t="s">
        <v>47</v>
      </c>
      <c r="M276" s="2"/>
    </row>
    <row r="277">
      <c r="A277" s="2" t="s">
        <v>2</v>
      </c>
      <c r="B277" s="2" t="s">
        <v>1026</v>
      </c>
      <c r="C277" s="19" t="s">
        <v>1027</v>
      </c>
      <c r="D277" s="2" t="s">
        <v>31</v>
      </c>
      <c r="E277" s="2" t="s">
        <v>301</v>
      </c>
      <c r="F277" s="2" t="s">
        <v>39</v>
      </c>
      <c r="G277" s="2" t="s">
        <v>21</v>
      </c>
      <c r="H277" s="2" t="s">
        <v>42</v>
      </c>
      <c r="I277" s="2" t="s">
        <v>43</v>
      </c>
      <c r="J277" s="2" t="s">
        <v>598</v>
      </c>
      <c r="K277" s="2" t="s">
        <v>46</v>
      </c>
      <c r="L277" s="2" t="s">
        <v>47</v>
      </c>
      <c r="M277" s="2"/>
    </row>
    <row r="278">
      <c r="A278" s="2" t="s">
        <v>2</v>
      </c>
      <c r="B278" s="2" t="s">
        <v>1028</v>
      </c>
      <c r="C278" s="19" t="s">
        <v>1029</v>
      </c>
      <c r="D278" s="2" t="s">
        <v>31</v>
      </c>
      <c r="E278" s="2" t="s">
        <v>190</v>
      </c>
      <c r="F278" s="2" t="s">
        <v>39</v>
      </c>
      <c r="G278" s="2" t="s">
        <v>21</v>
      </c>
      <c r="H278" s="2" t="s">
        <v>42</v>
      </c>
      <c r="I278" s="2" t="s">
        <v>43</v>
      </c>
      <c r="J278" s="2" t="s">
        <v>598</v>
      </c>
      <c r="K278" s="2" t="s">
        <v>46</v>
      </c>
      <c r="L278" s="2" t="s">
        <v>47</v>
      </c>
      <c r="M278" s="2"/>
    </row>
    <row r="279">
      <c r="A279" s="2" t="s">
        <v>2</v>
      </c>
      <c r="B279" s="2" t="s">
        <v>1030</v>
      </c>
      <c r="C279" s="19" t="s">
        <v>1025</v>
      </c>
      <c r="D279" s="2" t="s">
        <v>31</v>
      </c>
      <c r="E279" s="2" t="s">
        <v>199</v>
      </c>
      <c r="F279" s="2" t="s">
        <v>39</v>
      </c>
      <c r="G279" s="2" t="s">
        <v>21</v>
      </c>
      <c r="H279" s="2" t="s">
        <v>42</v>
      </c>
      <c r="I279" s="2" t="s">
        <v>43</v>
      </c>
      <c r="J279" s="2" t="s">
        <v>598</v>
      </c>
      <c r="K279" s="2" t="s">
        <v>46</v>
      </c>
      <c r="L279" s="2" t="s">
        <v>47</v>
      </c>
      <c r="M279" s="2"/>
    </row>
    <row r="280">
      <c r="A280" s="2" t="s">
        <v>2</v>
      </c>
      <c r="B280" s="2" t="s">
        <v>1031</v>
      </c>
      <c r="C280" s="19" t="s">
        <v>1110</v>
      </c>
      <c r="D280" s="2" t="s">
        <v>31</v>
      </c>
      <c r="E280" s="2" t="s">
        <v>108</v>
      </c>
      <c r="F280" s="2" t="s">
        <v>39</v>
      </c>
      <c r="G280" s="2" t="s">
        <v>21</v>
      </c>
      <c r="H280" s="2" t="s">
        <v>42</v>
      </c>
      <c r="I280" s="2" t="s">
        <v>43</v>
      </c>
      <c r="J280" s="2" t="s">
        <v>598</v>
      </c>
      <c r="K280" s="2" t="s">
        <v>46</v>
      </c>
      <c r="L280" s="2" t="s">
        <v>47</v>
      </c>
      <c r="M280" s="2"/>
    </row>
    <row r="281">
      <c r="A281" s="2" t="s">
        <v>2</v>
      </c>
      <c r="B281" s="2" t="s">
        <v>1032</v>
      </c>
      <c r="C281" s="19" t="s">
        <v>1033</v>
      </c>
      <c r="D281" s="2" t="s">
        <v>31</v>
      </c>
      <c r="E281" s="2" t="s">
        <v>117</v>
      </c>
      <c r="F281" s="2" t="s">
        <v>39</v>
      </c>
      <c r="G281" s="2" t="s">
        <v>21</v>
      </c>
      <c r="H281" s="2" t="s">
        <v>42</v>
      </c>
      <c r="I281" s="2" t="s">
        <v>43</v>
      </c>
      <c r="J281" s="2" t="s">
        <v>598</v>
      </c>
      <c r="K281" s="2" t="s">
        <v>46</v>
      </c>
      <c r="L281" s="2" t="s">
        <v>47</v>
      </c>
      <c r="M281" s="2"/>
    </row>
    <row r="282">
      <c r="A282" s="2" t="s">
        <v>2</v>
      </c>
      <c r="B282" s="2" t="s">
        <v>1034</v>
      </c>
      <c r="C282" s="19" t="s">
        <v>1035</v>
      </c>
      <c r="D282" s="2" t="s">
        <v>31</v>
      </c>
      <c r="E282" s="2" t="s">
        <v>210</v>
      </c>
      <c r="F282" s="2" t="s">
        <v>39</v>
      </c>
      <c r="G282" s="2" t="s">
        <v>21</v>
      </c>
      <c r="H282" s="2" t="s">
        <v>42</v>
      </c>
      <c r="I282" s="2" t="s">
        <v>43</v>
      </c>
      <c r="J282" s="2" t="s">
        <v>598</v>
      </c>
      <c r="K282" s="2" t="s">
        <v>46</v>
      </c>
      <c r="L282" s="2" t="s">
        <v>47</v>
      </c>
      <c r="M282" s="2"/>
    </row>
    <row r="283">
      <c r="A283" s="2" t="s">
        <v>2</v>
      </c>
      <c r="B283" s="2" t="s">
        <v>1036</v>
      </c>
      <c r="C283" s="19" t="s">
        <v>1111</v>
      </c>
      <c r="D283" s="2" t="s">
        <v>31</v>
      </c>
      <c r="E283" s="2" t="s">
        <v>341</v>
      </c>
      <c r="F283" s="2" t="s">
        <v>39</v>
      </c>
      <c r="G283" s="2" t="s">
        <v>21</v>
      </c>
      <c r="H283" s="2" t="s">
        <v>42</v>
      </c>
      <c r="I283" s="2" t="s">
        <v>43</v>
      </c>
      <c r="J283" s="2" t="s">
        <v>598</v>
      </c>
      <c r="K283" s="2" t="s">
        <v>46</v>
      </c>
      <c r="L283" s="2" t="s">
        <v>47</v>
      </c>
      <c r="M283" s="2"/>
    </row>
    <row r="284">
      <c r="A284" s="2" t="s">
        <v>2</v>
      </c>
      <c r="B284" s="2" t="s">
        <v>1037</v>
      </c>
      <c r="C284" s="19" t="s">
        <v>1038</v>
      </c>
      <c r="D284" s="2" t="s">
        <v>31</v>
      </c>
      <c r="E284" s="2" t="s">
        <v>311</v>
      </c>
      <c r="F284" s="2" t="s">
        <v>39</v>
      </c>
      <c r="G284" s="2" t="s">
        <v>21</v>
      </c>
      <c r="H284" s="2" t="s">
        <v>42</v>
      </c>
      <c r="I284" s="2" t="s">
        <v>43</v>
      </c>
      <c r="J284" s="2" t="s">
        <v>598</v>
      </c>
      <c r="K284" s="2" t="s">
        <v>46</v>
      </c>
      <c r="L284" s="2" t="s">
        <v>47</v>
      </c>
      <c r="M284" s="2"/>
    </row>
    <row r="285">
      <c r="A285" s="2" t="s">
        <v>2</v>
      </c>
      <c r="B285" s="2" t="s">
        <v>1039</v>
      </c>
      <c r="C285" s="19" t="s">
        <v>1112</v>
      </c>
      <c r="D285" s="2" t="s">
        <v>31</v>
      </c>
      <c r="E285" s="2" t="s">
        <v>75</v>
      </c>
      <c r="F285" s="2" t="s">
        <v>39</v>
      </c>
      <c r="G285" s="2" t="s">
        <v>21</v>
      </c>
      <c r="H285" s="2" t="s">
        <v>42</v>
      </c>
      <c r="I285" s="2" t="s">
        <v>43</v>
      </c>
      <c r="J285" s="2" t="s">
        <v>598</v>
      </c>
      <c r="K285" s="2" t="s">
        <v>46</v>
      </c>
      <c r="L285" s="2" t="s">
        <v>47</v>
      </c>
      <c r="M285" s="2"/>
    </row>
    <row r="286">
      <c r="A286" s="2" t="s">
        <v>2</v>
      </c>
      <c r="B286" s="2" t="s">
        <v>1040</v>
      </c>
      <c r="C286" s="19" t="s">
        <v>1041</v>
      </c>
      <c r="D286" s="2" t="s">
        <v>31</v>
      </c>
      <c r="E286" s="2" t="s">
        <v>480</v>
      </c>
      <c r="F286" s="2" t="s">
        <v>39</v>
      </c>
      <c r="G286" s="2" t="s">
        <v>21</v>
      </c>
      <c r="H286" s="2" t="s">
        <v>42</v>
      </c>
      <c r="I286" s="2" t="s">
        <v>43</v>
      </c>
      <c r="J286" s="2" t="s">
        <v>598</v>
      </c>
      <c r="K286" s="2" t="s">
        <v>46</v>
      </c>
      <c r="L286" s="2" t="s">
        <v>47</v>
      </c>
      <c r="M286" s="2"/>
    </row>
    <row r="287">
      <c r="A287" s="2" t="s">
        <v>2</v>
      </c>
      <c r="B287" s="2" t="s">
        <v>1042</v>
      </c>
      <c r="C287" s="19" t="s">
        <v>1043</v>
      </c>
      <c r="D287" s="2" t="s">
        <v>31</v>
      </c>
      <c r="E287" s="2" t="s">
        <v>1044</v>
      </c>
      <c r="F287" s="2" t="s">
        <v>39</v>
      </c>
      <c r="G287" s="2" t="s">
        <v>21</v>
      </c>
      <c r="H287" s="2" t="s">
        <v>42</v>
      </c>
      <c r="I287" s="2" t="s">
        <v>43</v>
      </c>
      <c r="J287" s="2" t="s">
        <v>598</v>
      </c>
      <c r="K287" s="2" t="s">
        <v>46</v>
      </c>
      <c r="L287" s="2" t="s">
        <v>47</v>
      </c>
      <c r="M287" s="2"/>
    </row>
    <row r="288">
      <c r="A288" s="2" t="s">
        <v>2</v>
      </c>
      <c r="B288" s="2" t="s">
        <v>1045</v>
      </c>
      <c r="C288" s="19" t="s">
        <v>1046</v>
      </c>
      <c r="D288" s="2" t="s">
        <v>31</v>
      </c>
      <c r="E288" s="2" t="s">
        <v>63</v>
      </c>
      <c r="F288" s="2" t="s">
        <v>39</v>
      </c>
      <c r="G288" s="2" t="s">
        <v>21</v>
      </c>
      <c r="H288" s="2" t="s">
        <v>42</v>
      </c>
      <c r="I288" s="2" t="s">
        <v>43</v>
      </c>
      <c r="J288" s="2" t="s">
        <v>598</v>
      </c>
      <c r="K288" s="2" t="s">
        <v>46</v>
      </c>
      <c r="L288" s="2" t="s">
        <v>47</v>
      </c>
      <c r="M288" s="2"/>
    </row>
    <row r="289">
      <c r="A289" s="2" t="s">
        <v>2</v>
      </c>
      <c r="B289" s="2" t="s">
        <v>1047</v>
      </c>
      <c r="C289" s="19" t="s">
        <v>1048</v>
      </c>
      <c r="D289" s="2" t="s">
        <v>31</v>
      </c>
      <c r="E289" s="2" t="s">
        <v>155</v>
      </c>
      <c r="F289" s="2" t="s">
        <v>39</v>
      </c>
      <c r="G289" s="2" t="s">
        <v>21</v>
      </c>
      <c r="H289" s="2" t="s">
        <v>42</v>
      </c>
      <c r="I289" s="2" t="s">
        <v>43</v>
      </c>
      <c r="J289" s="2" t="s">
        <v>598</v>
      </c>
      <c r="K289" s="2" t="s">
        <v>46</v>
      </c>
      <c r="L289" s="2" t="s">
        <v>47</v>
      </c>
      <c r="M289" s="2"/>
    </row>
    <row r="290">
      <c r="A290" s="2" t="s">
        <v>2</v>
      </c>
      <c r="B290" s="2" t="s">
        <v>1049</v>
      </c>
      <c r="C290" s="19" t="s">
        <v>1050</v>
      </c>
      <c r="D290" s="2" t="s">
        <v>31</v>
      </c>
      <c r="E290" s="2" t="s">
        <v>415</v>
      </c>
      <c r="F290" s="2" t="s">
        <v>39</v>
      </c>
      <c r="G290" s="2" t="s">
        <v>21</v>
      </c>
      <c r="H290" s="2" t="s">
        <v>42</v>
      </c>
      <c r="I290" s="2" t="s">
        <v>43</v>
      </c>
      <c r="J290" s="2" t="s">
        <v>598</v>
      </c>
      <c r="K290" s="2" t="s">
        <v>46</v>
      </c>
      <c r="L290" s="2" t="s">
        <v>47</v>
      </c>
      <c r="M290" s="2"/>
    </row>
    <row r="291">
      <c r="A291" s="2" t="s">
        <v>2</v>
      </c>
      <c r="B291" s="2" t="s">
        <v>1051</v>
      </c>
      <c r="C291" s="19" t="s">
        <v>931</v>
      </c>
      <c r="D291" s="2" t="s">
        <v>31</v>
      </c>
      <c r="E291" s="2" t="s">
        <v>434</v>
      </c>
      <c r="F291" s="2" t="s">
        <v>39</v>
      </c>
      <c r="G291" s="2" t="s">
        <v>21</v>
      </c>
      <c r="H291" s="2" t="s">
        <v>42</v>
      </c>
      <c r="I291" s="2" t="s">
        <v>43</v>
      </c>
      <c r="J291" s="2" t="s">
        <v>598</v>
      </c>
      <c r="K291" s="2" t="s">
        <v>46</v>
      </c>
      <c r="L291" s="2" t="s">
        <v>47</v>
      </c>
      <c r="M291" s="2"/>
    </row>
    <row r="292">
      <c r="A292" s="2" t="s">
        <v>2</v>
      </c>
      <c r="B292" s="2" t="s">
        <v>1052</v>
      </c>
      <c r="C292" s="8" t="s">
        <v>1113</v>
      </c>
      <c r="D292" s="2" t="s">
        <v>31</v>
      </c>
      <c r="E292" s="2" t="s">
        <v>451</v>
      </c>
      <c r="F292" s="2" t="s">
        <v>39</v>
      </c>
      <c r="G292" s="2" t="s">
        <v>21</v>
      </c>
      <c r="H292" s="2" t="s">
        <v>42</v>
      </c>
      <c r="I292" s="2" t="s">
        <v>43</v>
      </c>
      <c r="J292" s="2" t="s">
        <v>598</v>
      </c>
      <c r="K292" s="2" t="s">
        <v>46</v>
      </c>
      <c r="L292" s="2" t="s">
        <v>47</v>
      </c>
      <c r="M292" s="2"/>
    </row>
    <row r="293">
      <c r="A293" s="2" t="s">
        <v>2</v>
      </c>
      <c r="B293" s="2" t="s">
        <v>1053</v>
      </c>
      <c r="C293" s="19" t="s">
        <v>1114</v>
      </c>
      <c r="D293" s="2" t="s">
        <v>31</v>
      </c>
      <c r="E293" s="2" t="s">
        <v>1054</v>
      </c>
      <c r="F293" s="2" t="s">
        <v>39</v>
      </c>
      <c r="G293" s="2" t="s">
        <v>21</v>
      </c>
      <c r="H293" s="2" t="s">
        <v>42</v>
      </c>
      <c r="I293" s="2" t="s">
        <v>43</v>
      </c>
      <c r="J293" s="2" t="s">
        <v>598</v>
      </c>
      <c r="K293" s="2" t="s">
        <v>46</v>
      </c>
      <c r="L293" s="2" t="s">
        <v>47</v>
      </c>
      <c r="M293" s="2"/>
    </row>
    <row r="294">
      <c r="A294" s="2" t="s">
        <v>2</v>
      </c>
      <c r="B294" s="2" t="s">
        <v>1055</v>
      </c>
      <c r="C294" s="19" t="s">
        <v>1115</v>
      </c>
      <c r="D294" s="2" t="s">
        <v>31</v>
      </c>
      <c r="E294" s="2" t="s">
        <v>136</v>
      </c>
      <c r="F294" s="2" t="s">
        <v>39</v>
      </c>
      <c r="G294" s="2" t="s">
        <v>21</v>
      </c>
      <c r="H294" s="2" t="s">
        <v>42</v>
      </c>
      <c r="I294" s="2" t="s">
        <v>43</v>
      </c>
      <c r="J294" s="2" t="s">
        <v>598</v>
      </c>
      <c r="K294" s="2" t="s">
        <v>46</v>
      </c>
      <c r="L294" s="2" t="s">
        <v>47</v>
      </c>
      <c r="M294" s="2"/>
    </row>
    <row r="295">
      <c r="A295" s="2" t="s">
        <v>2</v>
      </c>
      <c r="B295" s="2" t="s">
        <v>1056</v>
      </c>
      <c r="C295" s="19" t="s">
        <v>1057</v>
      </c>
      <c r="D295" s="2" t="s">
        <v>31</v>
      </c>
      <c r="E295" s="2" t="s">
        <v>1058</v>
      </c>
      <c r="F295" s="2" t="s">
        <v>39</v>
      </c>
      <c r="G295" s="2" t="s">
        <v>21</v>
      </c>
      <c r="H295" s="2" t="s">
        <v>42</v>
      </c>
      <c r="I295" s="2" t="s">
        <v>43</v>
      </c>
      <c r="J295" s="2" t="s">
        <v>598</v>
      </c>
      <c r="K295" s="2" t="s">
        <v>46</v>
      </c>
      <c r="L295" s="2" t="s">
        <v>47</v>
      </c>
      <c r="M295" s="2"/>
    </row>
    <row r="296">
      <c r="A296" s="2" t="s">
        <v>2</v>
      </c>
      <c r="B296" s="2" t="s">
        <v>1059</v>
      </c>
      <c r="C296" s="19" t="s">
        <v>1116</v>
      </c>
      <c r="D296" s="2" t="s">
        <v>31</v>
      </c>
      <c r="E296" s="2" t="s">
        <v>441</v>
      </c>
      <c r="F296" s="2" t="s">
        <v>39</v>
      </c>
      <c r="G296" s="2" t="s">
        <v>21</v>
      </c>
      <c r="H296" s="2" t="s">
        <v>42</v>
      </c>
      <c r="I296" s="2" t="s">
        <v>43</v>
      </c>
      <c r="J296" s="2" t="s">
        <v>598</v>
      </c>
      <c r="K296" s="2" t="s">
        <v>46</v>
      </c>
      <c r="L296" s="2" t="s">
        <v>47</v>
      </c>
      <c r="M296" s="2"/>
    </row>
    <row r="297">
      <c r="A297" s="2" t="s">
        <v>2</v>
      </c>
      <c r="B297" s="2" t="s">
        <v>1060</v>
      </c>
      <c r="C297" s="19" t="s">
        <v>1117</v>
      </c>
      <c r="D297" s="2" t="s">
        <v>31</v>
      </c>
      <c r="E297" s="2" t="s">
        <v>457</v>
      </c>
      <c r="F297" s="2" t="s">
        <v>39</v>
      </c>
      <c r="G297" s="2" t="s">
        <v>21</v>
      </c>
      <c r="H297" s="2" t="s">
        <v>42</v>
      </c>
      <c r="I297" s="2" t="s">
        <v>43</v>
      </c>
      <c r="J297" s="2" t="s">
        <v>598</v>
      </c>
      <c r="K297" s="2" t="s">
        <v>46</v>
      </c>
      <c r="L297" s="2" t="s">
        <v>47</v>
      </c>
      <c r="M297" s="2"/>
    </row>
    <row r="298">
      <c r="A298" s="2" t="s">
        <v>2</v>
      </c>
      <c r="B298" s="2" t="s">
        <v>1062</v>
      </c>
      <c r="C298" s="19" t="s">
        <v>1063</v>
      </c>
      <c r="D298" s="2" t="s">
        <v>31</v>
      </c>
      <c r="E298" s="2" t="s">
        <v>1064</v>
      </c>
      <c r="F298" s="2" t="s">
        <v>39</v>
      </c>
      <c r="G298" s="2" t="s">
        <v>21</v>
      </c>
      <c r="H298" s="2" t="s">
        <v>42</v>
      </c>
      <c r="I298" s="2" t="s">
        <v>43</v>
      </c>
      <c r="J298" s="2" t="s">
        <v>598</v>
      </c>
      <c r="K298" s="2" t="s">
        <v>46</v>
      </c>
      <c r="L298" s="2" t="s">
        <v>47</v>
      </c>
      <c r="M298" s="2"/>
    </row>
    <row r="299">
      <c r="A299" s="2" t="s">
        <v>2</v>
      </c>
      <c r="B299" s="2" t="s">
        <v>1065</v>
      </c>
      <c r="C299" s="19" t="s">
        <v>1066</v>
      </c>
      <c r="D299" s="2" t="s">
        <v>31</v>
      </c>
      <c r="E299" s="2" t="s">
        <v>200</v>
      </c>
      <c r="F299" s="2" t="s">
        <v>39</v>
      </c>
      <c r="G299" s="2" t="s">
        <v>21</v>
      </c>
      <c r="H299" s="2" t="s">
        <v>42</v>
      </c>
      <c r="I299" s="2" t="s">
        <v>43</v>
      </c>
      <c r="J299" s="2" t="s">
        <v>598</v>
      </c>
      <c r="K299" s="2" t="s">
        <v>46</v>
      </c>
      <c r="L299" s="2" t="s">
        <v>47</v>
      </c>
      <c r="M299" s="2"/>
    </row>
    <row r="300">
      <c r="A300" s="2" t="s">
        <v>2</v>
      </c>
      <c r="B300" s="2" t="s">
        <v>1068</v>
      </c>
      <c r="C300" s="19" t="s">
        <v>1118</v>
      </c>
      <c r="D300" s="2" t="s">
        <v>31</v>
      </c>
      <c r="E300" s="2" t="s">
        <v>184</v>
      </c>
      <c r="F300" s="2" t="s">
        <v>39</v>
      </c>
      <c r="G300" s="2" t="s">
        <v>21</v>
      </c>
      <c r="H300" s="2" t="s">
        <v>42</v>
      </c>
      <c r="I300" s="2" t="s">
        <v>43</v>
      </c>
      <c r="J300" s="2" t="s">
        <v>598</v>
      </c>
      <c r="K300" s="2" t="s">
        <v>46</v>
      </c>
      <c r="L300" s="2" t="s">
        <v>47</v>
      </c>
      <c r="M300" s="2"/>
    </row>
    <row r="301">
      <c r="A301" s="2" t="s">
        <v>2</v>
      </c>
      <c r="B301" s="2" t="s">
        <v>1069</v>
      </c>
      <c r="C301" s="8" t="s">
        <v>1070</v>
      </c>
      <c r="D301" s="2" t="s">
        <v>31</v>
      </c>
      <c r="E301" s="2" t="s">
        <v>464</v>
      </c>
      <c r="F301" s="2" t="s">
        <v>39</v>
      </c>
      <c r="G301" s="2" t="s">
        <v>21</v>
      </c>
      <c r="H301" s="2" t="s">
        <v>42</v>
      </c>
      <c r="I301" s="2" t="s">
        <v>43</v>
      </c>
      <c r="J301" s="2" t="s">
        <v>598</v>
      </c>
      <c r="K301" s="2" t="s">
        <v>46</v>
      </c>
      <c r="L301" s="2" t="s">
        <v>47</v>
      </c>
      <c r="M301" s="21"/>
    </row>
    <row r="302">
      <c r="A302" s="2" t="s">
        <v>2</v>
      </c>
      <c r="B302" s="2" t="s">
        <v>1073</v>
      </c>
      <c r="C302" s="19" t="s">
        <v>1074</v>
      </c>
      <c r="D302" s="2" t="s">
        <v>31</v>
      </c>
      <c r="E302" s="2" t="s">
        <v>251</v>
      </c>
      <c r="F302" s="2" t="s">
        <v>39</v>
      </c>
      <c r="G302" s="2" t="s">
        <v>21</v>
      </c>
      <c r="H302" s="2" t="s">
        <v>42</v>
      </c>
      <c r="I302" s="2" t="s">
        <v>43</v>
      </c>
      <c r="J302" s="2" t="s">
        <v>598</v>
      </c>
      <c r="K302" s="2" t="s">
        <v>46</v>
      </c>
      <c r="L302" s="2" t="s">
        <v>47</v>
      </c>
      <c r="M302" s="2"/>
    </row>
    <row r="303">
      <c r="A303" s="2" t="s">
        <v>2</v>
      </c>
      <c r="B303" s="2" t="s">
        <v>1075</v>
      </c>
      <c r="C303" s="19" t="s">
        <v>1076</v>
      </c>
      <c r="D303" s="2" t="s">
        <v>31</v>
      </c>
      <c r="E303" s="2" t="s">
        <v>568</v>
      </c>
      <c r="F303" s="2" t="s">
        <v>39</v>
      </c>
      <c r="G303" s="2" t="s">
        <v>21</v>
      </c>
      <c r="H303" s="2" t="s">
        <v>42</v>
      </c>
      <c r="I303" s="2" t="s">
        <v>43</v>
      </c>
      <c r="J303" s="2" t="s">
        <v>598</v>
      </c>
      <c r="K303" s="2" t="s">
        <v>46</v>
      </c>
      <c r="L303" s="2" t="s">
        <v>47</v>
      </c>
      <c r="M303" s="2"/>
    </row>
    <row r="304">
      <c r="A304" s="2" t="s">
        <v>2</v>
      </c>
      <c r="B304" s="2" t="s">
        <v>1078</v>
      </c>
      <c r="C304" s="19" t="s">
        <v>1119</v>
      </c>
      <c r="D304" s="2" t="s">
        <v>31</v>
      </c>
      <c r="E304" s="2" t="s">
        <v>357</v>
      </c>
      <c r="F304" s="2" t="s">
        <v>39</v>
      </c>
      <c r="G304" s="2" t="s">
        <v>21</v>
      </c>
      <c r="H304" s="2" t="s">
        <v>42</v>
      </c>
      <c r="I304" s="2" t="s">
        <v>43</v>
      </c>
      <c r="J304" s="2" t="s">
        <v>598</v>
      </c>
      <c r="K304" s="2" t="s">
        <v>46</v>
      </c>
      <c r="L304" s="2" t="s">
        <v>47</v>
      </c>
      <c r="M304" s="2"/>
    </row>
    <row r="305">
      <c r="A305" s="2" t="s">
        <v>2</v>
      </c>
      <c r="B305" s="2" t="s">
        <v>1079</v>
      </c>
      <c r="C305" s="19" t="s">
        <v>1080</v>
      </c>
      <c r="D305" s="2" t="s">
        <v>31</v>
      </c>
      <c r="E305" s="2" t="s">
        <v>422</v>
      </c>
      <c r="F305" s="2" t="s">
        <v>39</v>
      </c>
      <c r="G305" s="2" t="s">
        <v>21</v>
      </c>
      <c r="H305" s="2" t="s">
        <v>42</v>
      </c>
      <c r="I305" s="2" t="s">
        <v>43</v>
      </c>
      <c r="J305" s="2" t="s">
        <v>598</v>
      </c>
      <c r="K305" s="2" t="s">
        <v>46</v>
      </c>
      <c r="L305" s="2" t="s">
        <v>47</v>
      </c>
      <c r="M305" s="2"/>
    </row>
    <row r="306">
      <c r="A306" s="2" t="s">
        <v>2</v>
      </c>
      <c r="B306" s="2" t="s">
        <v>1081</v>
      </c>
      <c r="C306" s="19" t="s">
        <v>1120</v>
      </c>
      <c r="D306" s="2" t="s">
        <v>31</v>
      </c>
      <c r="E306" s="2" t="s">
        <v>279</v>
      </c>
      <c r="F306" s="2" t="s">
        <v>39</v>
      </c>
      <c r="G306" s="2" t="s">
        <v>21</v>
      </c>
      <c r="H306" s="2" t="s">
        <v>42</v>
      </c>
      <c r="I306" s="2" t="s">
        <v>43</v>
      </c>
      <c r="J306" s="2" t="s">
        <v>598</v>
      </c>
      <c r="K306" s="2" t="s">
        <v>46</v>
      </c>
      <c r="L306" s="2" t="s">
        <v>47</v>
      </c>
      <c r="M306" s="2"/>
    </row>
    <row r="307">
      <c r="A307" s="2" t="s">
        <v>2</v>
      </c>
      <c r="B307" s="2" t="s">
        <v>1083</v>
      </c>
      <c r="C307" s="8" t="s">
        <v>1084</v>
      </c>
      <c r="D307" s="2" t="s">
        <v>31</v>
      </c>
      <c r="E307" s="2" t="s">
        <v>161</v>
      </c>
      <c r="F307" s="2" t="s">
        <v>39</v>
      </c>
      <c r="G307" s="2" t="s">
        <v>21</v>
      </c>
      <c r="H307" s="2" t="s">
        <v>42</v>
      </c>
      <c r="I307" s="2" t="s">
        <v>43</v>
      </c>
      <c r="J307" s="2" t="s">
        <v>598</v>
      </c>
      <c r="K307" s="2" t="s">
        <v>46</v>
      </c>
      <c r="L307" s="2" t="s">
        <v>47</v>
      </c>
      <c r="M307" s="2"/>
    </row>
    <row r="308">
      <c r="A308" s="2" t="s">
        <v>2</v>
      </c>
      <c r="B308" s="2" t="s">
        <v>37</v>
      </c>
      <c r="C308" s="8" t="s">
        <v>38</v>
      </c>
      <c r="D308" s="2" t="s">
        <v>28</v>
      </c>
      <c r="E308" s="2" t="s">
        <v>0</v>
      </c>
      <c r="F308" s="2" t="s">
        <v>39</v>
      </c>
      <c r="G308" s="2" t="s">
        <v>21</v>
      </c>
      <c r="H308" s="2" t="s">
        <v>42</v>
      </c>
      <c r="I308" s="2" t="s">
        <v>43</v>
      </c>
      <c r="J308" s="2" t="s">
        <v>45</v>
      </c>
      <c r="K308" s="2" t="s">
        <v>46</v>
      </c>
      <c r="L308" s="2" t="s">
        <v>54</v>
      </c>
      <c r="M308" s="8" t="s">
        <v>55</v>
      </c>
      <c r="O308" s="5" t="str">
        <f t="shared" ref="O308:O310" si="2">if(A308="","",B308 &amp; "
Link: " &amp; C308 &amp; "
RSS Link: " &amp; M308)</f>
        <v>Dainik Bhaskar
Link: https://www.bhaskar.com/mera-shaher/local/uttar-pradesh/
RSS Link: https://www.bhaskar.com/rss-v1--category-2052.xml</v>
      </c>
    </row>
    <row r="309">
      <c r="A309" s="2" t="s">
        <v>2</v>
      </c>
      <c r="B309" s="2" t="s">
        <v>893</v>
      </c>
      <c r="C309" s="19" t="s">
        <v>894</v>
      </c>
      <c r="D309" s="2" t="s">
        <v>28</v>
      </c>
      <c r="E309" s="6" t="s">
        <v>896</v>
      </c>
      <c r="F309" s="2" t="s">
        <v>723</v>
      </c>
      <c r="G309" s="2" t="s">
        <v>21</v>
      </c>
      <c r="H309" s="2" t="s">
        <v>42</v>
      </c>
      <c r="I309" s="2" t="s">
        <v>43</v>
      </c>
      <c r="J309" s="2" t="s">
        <v>45</v>
      </c>
      <c r="K309" s="2" t="s">
        <v>46</v>
      </c>
      <c r="L309" s="2" t="s">
        <v>47</v>
      </c>
      <c r="M309" s="8" t="s">
        <v>897</v>
      </c>
      <c r="O309" s="5" t="str">
        <f t="shared" si="2"/>
        <v>Times Of India
Link: https://timesofindia.indiatimes.com/india/uttar-pradesh
RSS Link: https://timesofindia.indiatimes.com/rssfeeds/-2128819658.cms</v>
      </c>
    </row>
    <row r="310">
      <c r="A310" s="2" t="s">
        <v>2</v>
      </c>
      <c r="B310" s="2" t="s">
        <v>943</v>
      </c>
      <c r="C310" s="19" t="s">
        <v>944</v>
      </c>
      <c r="D310" s="2" t="s">
        <v>727</v>
      </c>
      <c r="E310" s="2" t="s">
        <v>1121</v>
      </c>
      <c r="F310" s="2" t="s">
        <v>39</v>
      </c>
      <c r="G310" s="2" t="s">
        <v>21</v>
      </c>
      <c r="H310" s="2" t="s">
        <v>42</v>
      </c>
      <c r="I310" s="2" t="s">
        <v>43</v>
      </c>
      <c r="J310" s="2" t="s">
        <v>598</v>
      </c>
      <c r="K310" s="2" t="s">
        <v>46</v>
      </c>
      <c r="L310" s="2" t="s">
        <v>47</v>
      </c>
      <c r="M310" s="8" t="s">
        <v>946</v>
      </c>
      <c r="O310" s="5" t="str">
        <f t="shared" si="2"/>
        <v>JMD news
Link: https://jmdnewsflash.com/
RSS Link: https://jmdnewsflash.com/feed/</v>
      </c>
    </row>
    <row r="311">
      <c r="A311" s="2" t="s">
        <v>2</v>
      </c>
      <c r="B311" s="2" t="s">
        <v>1086</v>
      </c>
      <c r="C311" s="19" t="s">
        <v>1087</v>
      </c>
      <c r="D311" s="2" t="s">
        <v>31</v>
      </c>
      <c r="E311" s="2" t="s">
        <v>258</v>
      </c>
      <c r="F311" s="2" t="s">
        <v>39</v>
      </c>
      <c r="G311" s="2" t="s">
        <v>21</v>
      </c>
      <c r="H311" s="2" t="s">
        <v>42</v>
      </c>
      <c r="I311" s="2" t="s">
        <v>43</v>
      </c>
      <c r="J311" s="2" t="s">
        <v>598</v>
      </c>
      <c r="K311" s="2" t="s">
        <v>46</v>
      </c>
      <c r="L311" s="2" t="s">
        <v>47</v>
      </c>
      <c r="M311" s="2"/>
    </row>
    <row r="312">
      <c r="A312" s="2" t="s">
        <v>2</v>
      </c>
      <c r="B312" s="2" t="s">
        <v>1088</v>
      </c>
      <c r="C312" s="19" t="s">
        <v>1089</v>
      </c>
      <c r="D312" s="2" t="s">
        <v>31</v>
      </c>
      <c r="E312" s="2" t="s">
        <v>66</v>
      </c>
      <c r="F312" s="2" t="s">
        <v>39</v>
      </c>
      <c r="G312" s="2" t="s">
        <v>21</v>
      </c>
      <c r="H312" s="2" t="s">
        <v>42</v>
      </c>
      <c r="I312" s="2" t="s">
        <v>43</v>
      </c>
      <c r="J312" s="2" t="s">
        <v>45</v>
      </c>
      <c r="K312" s="2" t="s">
        <v>46</v>
      </c>
      <c r="L312" s="2" t="s">
        <v>47</v>
      </c>
      <c r="M312" s="6"/>
    </row>
    <row r="313">
      <c r="A313" s="2" t="s">
        <v>2</v>
      </c>
      <c r="B313" s="2" t="s">
        <v>1090</v>
      </c>
      <c r="C313" s="19" t="s">
        <v>1091</v>
      </c>
      <c r="D313" s="2" t="s">
        <v>31</v>
      </c>
      <c r="E313" s="2" t="s">
        <v>480</v>
      </c>
      <c r="F313" s="2" t="s">
        <v>39</v>
      </c>
      <c r="G313" s="2" t="s">
        <v>21</v>
      </c>
      <c r="H313" s="2" t="s">
        <v>42</v>
      </c>
      <c r="I313" s="2" t="s">
        <v>43</v>
      </c>
      <c r="J313" s="2" t="s">
        <v>45</v>
      </c>
      <c r="K313" s="2" t="s">
        <v>46</v>
      </c>
      <c r="L313" s="2" t="s">
        <v>47</v>
      </c>
      <c r="M313" s="6"/>
    </row>
    <row r="314">
      <c r="A314" s="2" t="s">
        <v>2</v>
      </c>
      <c r="B314" s="2" t="s">
        <v>1092</v>
      </c>
      <c r="C314" s="19" t="s">
        <v>1093</v>
      </c>
      <c r="D314" s="2" t="s">
        <v>31</v>
      </c>
      <c r="E314" s="2" t="s">
        <v>193</v>
      </c>
      <c r="F314" s="2" t="s">
        <v>39</v>
      </c>
      <c r="G314" s="2" t="s">
        <v>21</v>
      </c>
      <c r="H314" s="2" t="s">
        <v>42</v>
      </c>
      <c r="I314" s="2" t="s">
        <v>43</v>
      </c>
      <c r="J314" s="2" t="s">
        <v>45</v>
      </c>
      <c r="K314" s="2" t="s">
        <v>46</v>
      </c>
      <c r="L314" s="2" t="s">
        <v>47</v>
      </c>
      <c r="M314" s="6"/>
    </row>
    <row r="315">
      <c r="A315" s="2" t="s">
        <v>2</v>
      </c>
      <c r="B315" s="2" t="s">
        <v>1094</v>
      </c>
      <c r="C315" s="19" t="s">
        <v>1095</v>
      </c>
      <c r="D315" s="2" t="s">
        <v>31</v>
      </c>
      <c r="E315" s="2" t="s">
        <v>1097</v>
      </c>
      <c r="F315" s="2" t="s">
        <v>39</v>
      </c>
      <c r="G315" s="2" t="s">
        <v>21</v>
      </c>
      <c r="H315" s="2" t="s">
        <v>42</v>
      </c>
      <c r="I315" s="2" t="s">
        <v>43</v>
      </c>
      <c r="J315" s="2" t="s">
        <v>45</v>
      </c>
      <c r="K315" s="2" t="s">
        <v>46</v>
      </c>
      <c r="L315" s="2" t="s">
        <v>47</v>
      </c>
      <c r="M315" s="6"/>
    </row>
    <row r="316">
      <c r="A316" s="2" t="s">
        <v>2</v>
      </c>
      <c r="B316" s="2" t="s">
        <v>1098</v>
      </c>
      <c r="C316" s="19" t="s">
        <v>1099</v>
      </c>
      <c r="D316" s="2" t="s">
        <v>31</v>
      </c>
      <c r="E316" s="2" t="s">
        <v>283</v>
      </c>
      <c r="F316" s="2" t="s">
        <v>39</v>
      </c>
      <c r="G316" s="2" t="s">
        <v>21</v>
      </c>
      <c r="H316" s="2" t="s">
        <v>42</v>
      </c>
      <c r="I316" s="2" t="s">
        <v>43</v>
      </c>
      <c r="J316" s="2" t="s">
        <v>45</v>
      </c>
      <c r="K316" s="2" t="s">
        <v>46</v>
      </c>
      <c r="L316" s="2" t="s">
        <v>47</v>
      </c>
      <c r="M316" s="6"/>
    </row>
    <row r="317">
      <c r="A317" s="2" t="s">
        <v>2</v>
      </c>
      <c r="B317" s="2" t="s">
        <v>1100</v>
      </c>
      <c r="C317" s="19" t="s">
        <v>1101</v>
      </c>
      <c r="D317" s="2" t="s">
        <v>31</v>
      </c>
      <c r="E317" s="2" t="s">
        <v>1103</v>
      </c>
      <c r="F317" s="2" t="s">
        <v>39</v>
      </c>
      <c r="G317" s="2" t="s">
        <v>21</v>
      </c>
      <c r="H317" s="2" t="s">
        <v>42</v>
      </c>
      <c r="I317" s="2" t="s">
        <v>43</v>
      </c>
      <c r="J317" s="2" t="s">
        <v>45</v>
      </c>
      <c r="K317" s="2" t="s">
        <v>46</v>
      </c>
      <c r="L317" s="2" t="s">
        <v>47</v>
      </c>
      <c r="M317" s="6"/>
    </row>
    <row r="318">
      <c r="A318" s="2" t="s">
        <v>2</v>
      </c>
      <c r="B318" s="2" t="s">
        <v>1104</v>
      </c>
      <c r="C318" s="19" t="s">
        <v>1105</v>
      </c>
      <c r="D318" s="2" t="s">
        <v>31</v>
      </c>
      <c r="E318" s="2" t="s">
        <v>148</v>
      </c>
      <c r="F318" s="2" t="s">
        <v>39</v>
      </c>
      <c r="G318" s="2" t="s">
        <v>21</v>
      </c>
      <c r="H318" s="2" t="s">
        <v>42</v>
      </c>
      <c r="I318" s="2" t="s">
        <v>43</v>
      </c>
      <c r="J318" s="2" t="s">
        <v>45</v>
      </c>
      <c r="K318" s="2" t="s">
        <v>46</v>
      </c>
      <c r="L318" s="2" t="s">
        <v>47</v>
      </c>
      <c r="M318" s="6"/>
    </row>
    <row r="319">
      <c r="A319" s="2" t="s">
        <v>2</v>
      </c>
      <c r="B319" s="26" t="s">
        <v>1107</v>
      </c>
      <c r="C319" s="8" t="s">
        <v>1105</v>
      </c>
      <c r="D319" s="2" t="s">
        <v>31</v>
      </c>
      <c r="E319" s="2" t="s">
        <v>148</v>
      </c>
      <c r="F319" s="2" t="s">
        <v>39</v>
      </c>
      <c r="G319" s="2" t="s">
        <v>21</v>
      </c>
      <c r="H319" s="2" t="s">
        <v>42</v>
      </c>
      <c r="I319" s="2" t="s">
        <v>43</v>
      </c>
      <c r="J319" s="2" t="s">
        <v>45</v>
      </c>
      <c r="K319" s="2" t="s">
        <v>46</v>
      </c>
      <c r="L319" s="2" t="s">
        <v>47</v>
      </c>
      <c r="M319" s="6"/>
    </row>
    <row r="320">
      <c r="A320" s="2" t="s">
        <v>2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>
      <c r="A321" s="2" t="s">
        <v>2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>
      <c r="A322" s="2" t="s">
        <v>2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>
      <c r="A323" s="2" t="s">
        <v>2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>
      <c r="A324" s="2" t="s">
        <v>2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>
      <c r="A325" s="2" t="s">
        <v>2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>
      <c r="A326" s="2" t="s">
        <v>2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>
      <c r="A327" s="2" t="s">
        <v>2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>
      <c r="A328" s="2" t="s">
        <v>2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>
      <c r="A329" s="2" t="s">
        <v>2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>
      <c r="A330" s="2" t="s">
        <v>2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>
      <c r="A331" s="2" t="s">
        <v>2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>
      <c r="A332" s="2" t="s">
        <v>2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>
      <c r="A333" s="2" t="s">
        <v>2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>
      <c r="A334" s="2" t="s">
        <v>2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>
      <c r="A335" s="2" t="s">
        <v>2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>
      <c r="A336" s="2" t="s">
        <v>2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>
      <c r="A337" s="2" t="s">
        <v>2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>
      <c r="A338" s="2" t="s">
        <v>2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>
      <c r="A339" s="2" t="s">
        <v>2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>
      <c r="A340" s="2" t="s">
        <v>2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>
      <c r="A341" s="2" t="s">
        <v>2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>
      <c r="A342" s="2" t="s">
        <v>2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>
      <c r="A343" s="2" t="s">
        <v>2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>
      <c r="A344" s="2" t="s">
        <v>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>
      <c r="A345" s="2" t="s">
        <v>2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>
      <c r="A346" s="2" t="s">
        <v>2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>
      <c r="A347" s="2" t="s">
        <v>2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>
      <c r="A348" s="2" t="s">
        <v>2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>
      <c r="A349" s="2" t="s">
        <v>2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>
      <c r="A350" s="2" t="s">
        <v>2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>
      <c r="A351" s="2" t="s">
        <v>2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>
      <c r="A352" s="2" t="s">
        <v>2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>
      <c r="A353" s="2" t="s">
        <v>2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>
      <c r="A354" s="2" t="s">
        <v>2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>
      <c r="A355" s="2" t="s">
        <v>2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>
      <c r="A356" s="2" t="s">
        <v>2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>
      <c r="A357" s="2" t="s">
        <v>2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>
      <c r="A358" s="2" t="s">
        <v>2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>
      <c r="A359" s="2" t="s">
        <v>2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>
      <c r="A360" s="2" t="s">
        <v>2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>
      <c r="A361" s="2" t="s">
        <v>2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>
      <c r="A362" s="2" t="s">
        <v>2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>
      <c r="A363" s="2" t="s">
        <v>2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>
      <c r="A364" s="2" t="s">
        <v>2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>
      <c r="A365" s="2" t="s">
        <v>2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>
      <c r="A366" s="2" t="s">
        <v>2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>
      <c r="A367" s="2" t="s">
        <v>2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>
      <c r="A368" s="2" t="s">
        <v>2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>
      <c r="A369" s="2" t="s">
        <v>2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>
      <c r="A370" s="2" t="s">
        <v>2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>
      <c r="A371" s="2" t="s">
        <v>2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>
      <c r="A372" s="2" t="s">
        <v>2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>
      <c r="A373" s="2" t="s">
        <v>2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>
      <c r="A374" s="2" t="s">
        <v>2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>
      <c r="A375" s="2" t="s">
        <v>2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>
      <c r="A376" s="2" t="s">
        <v>2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>
      <c r="A377" s="2" t="s">
        <v>2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>
      <c r="A378" s="2" t="s">
        <v>2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>
      <c r="A379" s="2" t="s">
        <v>2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>
      <c r="A380" s="2" t="s">
        <v>2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>
      <c r="A381" s="2" t="s">
        <v>2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>
      <c r="A382" s="2" t="s">
        <v>2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>
      <c r="A383" s="2" t="s">
        <v>2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>
      <c r="A384" s="2" t="s">
        <v>2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>
      <c r="A385" s="2" t="s">
        <v>2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>
      <c r="A386" s="2" t="s">
        <v>2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>
      <c r="A387" s="2" t="s">
        <v>2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>
      <c r="A388" s="2" t="s">
        <v>2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>
      <c r="A389" s="2" t="s">
        <v>2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>
      <c r="A390" s="2" t="s">
        <v>2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>
      <c r="A391" s="2" t="s">
        <v>2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>
      <c r="A392" s="2" t="s">
        <v>2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>
      <c r="A393" s="2" t="s">
        <v>2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>
      <c r="A394" s="2" t="s">
        <v>2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>
      <c r="A395" s="2" t="s">
        <v>2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>
      <c r="A396" s="2" t="s">
        <v>2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>
      <c r="A397" s="2" t="s">
        <v>2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>
      <c r="A398" s="2" t="s">
        <v>2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>
      <c r="A399" s="2" t="s">
        <v>2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>
      <c r="A400" s="2" t="s">
        <v>2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>
      <c r="A401" s="2" t="s">
        <v>2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>
      <c r="A402" s="2" t="s">
        <v>2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>
      <c r="A403" s="2" t="s">
        <v>2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>
      <c r="A404" s="2" t="s">
        <v>2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>
      <c r="A405" s="2" t="s">
        <v>2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>
      <c r="A406" s="2" t="s">
        <v>2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>
      <c r="A407" s="2" t="s">
        <v>2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>
      <c r="A408" s="2" t="s">
        <v>2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>
      <c r="A409" s="2" t="s">
        <v>2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>
      <c r="A410" s="2" t="s">
        <v>2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>
      <c r="A411" s="2" t="s">
        <v>2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>
      <c r="A412" s="2" t="s">
        <v>2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>
      <c r="A413" s="2" t="s">
        <v>2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>
      <c r="A414" s="2" t="s">
        <v>2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>
      <c r="A415" s="2" t="s">
        <v>2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>
      <c r="A416" s="2" t="s">
        <v>2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>
      <c r="A417" s="2" t="s">
        <v>2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>
      <c r="A418" s="2" t="s">
        <v>2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>
      <c r="A419" s="2" t="s">
        <v>2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>
      <c r="A420" s="2" t="s">
        <v>2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>
      <c r="A421" s="2" t="s">
        <v>2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>
      <c r="A422" s="2" t="s">
        <v>2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>
      <c r="A423" s="2" t="s">
        <v>2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>
      <c r="A424" s="2" t="s">
        <v>2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>
      <c r="A425" s="2" t="s">
        <v>2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>
      <c r="A426" s="2" t="s">
        <v>2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>
      <c r="A427" s="2" t="s">
        <v>2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>
      <c r="A428" s="2" t="s">
        <v>2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>
      <c r="A429" s="2" t="s">
        <v>2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>
      <c r="A430" s="2" t="s">
        <v>2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>
      <c r="A431" s="2" t="s">
        <v>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>
      <c r="A432" s="2" t="s">
        <v>2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>
      <c r="A433" s="2" t="s">
        <v>2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>
      <c r="A434" s="2" t="s">
        <v>2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>
      <c r="A435" s="2" t="s">
        <v>2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>
      <c r="A436" s="2" t="s">
        <v>2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>
      <c r="A437" s="2" t="s">
        <v>2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>
      <c r="A438" s="2" t="s">
        <v>2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>
      <c r="A439" s="2" t="s">
        <v>2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>
      <c r="A440" s="2" t="s">
        <v>2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>
      <c r="A441" s="2" t="s">
        <v>2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>
      <c r="A442" s="2" t="s">
        <v>2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>
      <c r="A443" s="2" t="s">
        <v>2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>
      <c r="A444" s="2" t="s">
        <v>2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>
      <c r="A445" s="2" t="s">
        <v>2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>
      <c r="A446" s="2" t="s">
        <v>2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>
      <c r="A447" s="2" t="s">
        <v>2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>
      <c r="A448" s="2" t="s">
        <v>2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>
      <c r="A449" s="2" t="s">
        <v>2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>
      <c r="A450" s="2" t="s">
        <v>2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>
      <c r="A451" s="2" t="s">
        <v>2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>
      <c r="A452" s="2" t="s">
        <v>2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>
      <c r="A453" s="2" t="s">
        <v>2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>
      <c r="A454" s="2" t="s">
        <v>2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>
      <c r="A455" s="2" t="s">
        <v>2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>
      <c r="A456" s="2" t="s">
        <v>2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>
      <c r="A457" s="2" t="s">
        <v>2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>
      <c r="A458" s="2" t="s">
        <v>2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>
      <c r="A459" s="2" t="s">
        <v>2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>
      <c r="A460" s="2" t="s">
        <v>2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>
      <c r="A461" s="2" t="s">
        <v>2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>
      <c r="A462" s="2" t="s">
        <v>2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>
      <c r="A463" s="2" t="s">
        <v>2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>
      <c r="A464" s="2" t="s">
        <v>2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>
      <c r="A465" s="2" t="s">
        <v>2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>
      <c r="A466" s="2" t="s">
        <v>2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>
      <c r="A467" s="2" t="s">
        <v>2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>
      <c r="A468" s="2" t="s">
        <v>2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>
      <c r="A469" s="2" t="s">
        <v>2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>
      <c r="A470" s="2" t="s">
        <v>2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>
      <c r="A471" s="2" t="s">
        <v>2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>
      <c r="A472" s="2" t="s">
        <v>2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>
      <c r="A473" s="2" t="s">
        <v>2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>
      <c r="A474" s="2" t="s">
        <v>2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>
      <c r="A475" s="2" t="s">
        <v>2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>
      <c r="A476" s="2" t="s">
        <v>2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>
      <c r="A477" s="2" t="s">
        <v>2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>
      <c r="A478" s="2" t="s">
        <v>2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>
      <c r="A479" s="2" t="s">
        <v>2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>
      <c r="A480" s="2" t="s">
        <v>2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>
      <c r="A481" s="2" t="s">
        <v>2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>
      <c r="A482" s="2" t="s">
        <v>2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>
      <c r="A483" s="2" t="s">
        <v>2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>
      <c r="A484" s="2" t="s">
        <v>2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>
      <c r="A485" s="2" t="s">
        <v>2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>
      <c r="A486" s="2" t="s">
        <v>2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>
      <c r="A487" s="2" t="s">
        <v>2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>
      <c r="A488" s="2" t="s">
        <v>2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>
      <c r="A489" s="2" t="s">
        <v>2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>
      <c r="A490" s="2" t="s">
        <v>2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>
      <c r="A491" s="2" t="s">
        <v>2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>
      <c r="A492" s="2" t="s">
        <v>2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>
      <c r="A493" s="2" t="s">
        <v>2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>
      <c r="A494" s="2" t="s">
        <v>2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>
      <c r="A495" s="2" t="s">
        <v>2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>
      <c r="A496" s="2" t="s">
        <v>2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>
      <c r="A497" s="2" t="s">
        <v>2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>
      <c r="A498" s="2" t="s">
        <v>2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>
      <c r="A499" s="2" t="s">
        <v>2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>
      <c r="A500" s="2" t="s">
        <v>2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>
      <c r="A501" s="2" t="s">
        <v>2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>
      <c r="A502" s="2" t="s">
        <v>2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>
      <c r="A503" s="2" t="s">
        <v>2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>
      <c r="A504" s="2" t="s">
        <v>2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>
      <c r="A505" s="2" t="s">
        <v>2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>
      <c r="A506" s="2" t="s">
        <v>2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>
      <c r="A507" s="2" t="s">
        <v>2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>
      <c r="A508" s="2" t="s">
        <v>2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>
      <c r="A509" s="2" t="s">
        <v>2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>
      <c r="A510" s="2" t="s">
        <v>2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>
      <c r="A511" s="2" t="s">
        <v>2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>
      <c r="A512" s="2" t="s">
        <v>2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>
      <c r="A513" s="2" t="s">
        <v>2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>
      <c r="A514" s="2" t="s">
        <v>2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>
      <c r="A515" s="2" t="s">
        <v>2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>
      <c r="A516" s="2" t="s">
        <v>2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>
      <c r="A517" s="2" t="s">
        <v>2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>
      <c r="A518" s="2" t="s">
        <v>2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>
      <c r="A519" s="2" t="s">
        <v>2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>
      <c r="A520" s="2" t="s">
        <v>2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>
      <c r="A521" s="2" t="s">
        <v>2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>
      <c r="A522" s="2" t="s">
        <v>2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>
      <c r="A523" s="2" t="s">
        <v>2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>
      <c r="A524" s="2" t="s">
        <v>2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>
      <c r="A525" s="2" t="s">
        <v>2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>
      <c r="A526" s="2" t="s">
        <v>2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>
      <c r="A527" s="2" t="s">
        <v>2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>
      <c r="A528" s="2" t="s">
        <v>2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>
      <c r="A529" s="2" t="s">
        <v>2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>
      <c r="A530" s="2" t="s">
        <v>2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>
      <c r="A531" s="2" t="s">
        <v>2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>
      <c r="A532" s="2" t="s">
        <v>2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>
      <c r="A533" s="2" t="s">
        <v>2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>
      <c r="A534" s="2" t="s">
        <v>2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>
      <c r="A535" s="2" t="s">
        <v>2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>
      <c r="A536" s="2" t="s">
        <v>2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>
      <c r="A537" s="2" t="s">
        <v>2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>
      <c r="A538" s="2" t="s">
        <v>2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>
      <c r="A539" s="2" t="s">
        <v>2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>
      <c r="A540" s="2" t="s">
        <v>2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>
      <c r="A541" s="2" t="s">
        <v>2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>
      <c r="A542" s="2" t="s">
        <v>2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>
      <c r="A543" s="2" t="s">
        <v>2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>
      <c r="A544" s="2" t="s">
        <v>2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>
      <c r="A545" s="2" t="s">
        <v>2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>
      <c r="A546" s="2" t="s">
        <v>2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>
      <c r="A547" s="2" t="s">
        <v>2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>
      <c r="A548" s="2" t="s">
        <v>2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>
      <c r="A549" s="2" t="s">
        <v>2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>
      <c r="A550" s="2" t="s">
        <v>2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>
      <c r="A551" s="2" t="s">
        <v>2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>
      <c r="A552" s="2" t="s">
        <v>2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>
      <c r="A553" s="2" t="s">
        <v>2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>
      <c r="A554" s="2" t="s">
        <v>2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>
      <c r="A555" s="2" t="s">
        <v>2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>
      <c r="A556" s="2" t="s">
        <v>2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>
      <c r="A557" s="2" t="s">
        <v>2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>
      <c r="A558" s="2" t="s">
        <v>2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>
      <c r="A559" s="2" t="s">
        <v>2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>
      <c r="A560" s="2" t="s">
        <v>2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>
      <c r="A561" s="2" t="s">
        <v>2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>
      <c r="A562" s="2" t="s">
        <v>2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>
      <c r="A563" s="2" t="s">
        <v>2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>
      <c r="A564" s="2" t="s">
        <v>2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>
      <c r="A565" s="2" t="s">
        <v>2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>
      <c r="A566" s="2" t="s">
        <v>2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>
      <c r="A567" s="2" t="s">
        <v>2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>
      <c r="A568" s="2" t="s">
        <v>2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>
      <c r="A569" s="2" t="s">
        <v>2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>
      <c r="A570" s="2" t="s">
        <v>2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>
      <c r="A571" s="2" t="s">
        <v>2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>
      <c r="A572" s="2" t="s">
        <v>2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>
      <c r="A573" s="2" t="s">
        <v>2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>
      <c r="A574" s="2" t="s">
        <v>2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>
      <c r="A575" s="2" t="s">
        <v>2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>
      <c r="A576" s="2" t="s">
        <v>2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>
      <c r="A577" s="2" t="s">
        <v>2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>
      <c r="A578" s="2" t="s">
        <v>2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>
      <c r="A579" s="2" t="s">
        <v>2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>
      <c r="A580" s="2" t="s">
        <v>2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>
      <c r="A581" s="2" t="s">
        <v>2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>
      <c r="A582" s="2" t="s">
        <v>2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>
      <c r="A583" s="2" t="s">
        <v>2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>
      <c r="A584" s="2" t="s">
        <v>2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>
      <c r="A585" s="2" t="s">
        <v>2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>
      <c r="A586" s="2" t="s">
        <v>2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>
      <c r="A587" s="2" t="s">
        <v>2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>
      <c r="A588" s="2" t="s">
        <v>2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>
      <c r="A589" s="2" t="s">
        <v>2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>
      <c r="A590" s="2" t="s">
        <v>2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>
      <c r="A591" s="2" t="s">
        <v>2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>
      <c r="A592" s="2" t="s">
        <v>2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>
      <c r="A593" s="2" t="s">
        <v>2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>
      <c r="A594" s="2" t="s">
        <v>2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>
      <c r="A595" s="2" t="s">
        <v>2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>
      <c r="A596" s="2" t="s">
        <v>2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>
      <c r="A597" s="2" t="s">
        <v>2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>
      <c r="A598" s="2" t="s">
        <v>2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>
      <c r="A599" s="2" t="s">
        <v>2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>
      <c r="A600" s="2" t="s">
        <v>2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>
      <c r="A601" s="2" t="s">
        <v>2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>
      <c r="A602" s="2" t="s">
        <v>2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>
      <c r="A603" s="2" t="s">
        <v>2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>
      <c r="A604" s="2" t="s">
        <v>2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>
      <c r="A605" s="2" t="s">
        <v>2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>
      <c r="A606" s="2" t="s">
        <v>2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>
      <c r="A607" s="2" t="s">
        <v>2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>
      <c r="A608" s="2" t="s">
        <v>2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>
      <c r="A609" s="2" t="s">
        <v>2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>
      <c r="A610" s="2" t="s">
        <v>2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>
      <c r="A611" s="2" t="s">
        <v>2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>
      <c r="A612" s="2" t="s">
        <v>2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>
      <c r="A613" s="2" t="s">
        <v>2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>
      <c r="A614" s="2" t="s">
        <v>2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>
      <c r="A615" s="2" t="s">
        <v>2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>
      <c r="A616" s="2" t="s">
        <v>2</v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>
      <c r="A617" s="2" t="s">
        <v>2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>
      <c r="A618" s="2" t="s">
        <v>2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>
      <c r="A619" s="2" t="s">
        <v>2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>
      <c r="A620" s="2" t="s">
        <v>2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>
      <c r="A621" s="2" t="s">
        <v>2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>
      <c r="A622" s="2" t="s">
        <v>2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>
      <c r="A623" s="2" t="s">
        <v>2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>
      <c r="A624" s="2" t="s">
        <v>2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>
      <c r="A625" s="2" t="s">
        <v>2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>
      <c r="A626" s="2" t="s">
        <v>2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>
      <c r="A627" s="2" t="s">
        <v>2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>
      <c r="A628" s="2" t="s">
        <v>2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>
      <c r="A629" s="2" t="s">
        <v>2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>
      <c r="A630" s="2" t="s">
        <v>2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>
      <c r="A631" s="2" t="s">
        <v>2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>
      <c r="A632" s="2" t="s">
        <v>2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>
      <c r="A633" s="2" t="s">
        <v>2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>
      <c r="A634" s="2" t="s">
        <v>2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>
      <c r="A635" s="2" t="s">
        <v>2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>
      <c r="A636" s="2" t="s">
        <v>2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>
      <c r="A637" s="2" t="s">
        <v>2</v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>
      <c r="A638" s="2" t="s">
        <v>2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>
      <c r="A639" s="2" t="s">
        <v>2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>
      <c r="A640" s="2" t="s">
        <v>2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>
      <c r="A641" s="2" t="s">
        <v>2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>
      <c r="A642" s="2" t="s">
        <v>2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>
      <c r="A643" s="2" t="s">
        <v>2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>
      <c r="A644" s="2" t="s">
        <v>2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>
      <c r="A645" s="2" t="s">
        <v>2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>
      <c r="A646" s="2" t="s">
        <v>2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>
      <c r="A647" s="2" t="s">
        <v>2</v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>
      <c r="A648" s="2" t="s">
        <v>2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>
      <c r="A649" s="2" t="s">
        <v>2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>
      <c r="A650" s="2" t="s">
        <v>2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>
      <c r="A651" s="2" t="s">
        <v>2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>
      <c r="A652" s="2" t="s">
        <v>2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>
      <c r="A653" s="2" t="s">
        <v>2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>
      <c r="A654" s="2" t="s">
        <v>2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>
      <c r="A655" s="2" t="s">
        <v>2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>
      <c r="A656" s="2" t="s">
        <v>2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>
      <c r="A657" s="2" t="s">
        <v>2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>
      <c r="A658" s="2" t="s">
        <v>2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>
      <c r="A659" s="2" t="s">
        <v>2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>
      <c r="A660" s="2" t="s">
        <v>2</v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>
      <c r="A661" s="2" t="s">
        <v>2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>
      <c r="A662" s="2" t="s">
        <v>2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>
      <c r="A663" s="2" t="s">
        <v>2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>
      <c r="A664" s="2" t="s">
        <v>2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>
      <c r="A665" s="2" t="s">
        <v>2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>
      <c r="A666" s="2" t="s">
        <v>2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>
      <c r="A667" s="2" t="s">
        <v>2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>
      <c r="A668" s="2" t="s">
        <v>2</v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>
      <c r="A669" s="2" t="s">
        <v>2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>
      <c r="A670" s="2" t="s">
        <v>2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>
      <c r="A671" s="2" t="s">
        <v>2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>
      <c r="A672" s="2" t="s">
        <v>2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>
      <c r="A673" s="2" t="s">
        <v>2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>
      <c r="A674" s="2" t="s">
        <v>2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>
      <c r="A675" s="2" t="s">
        <v>2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>
      <c r="A676" s="2" t="s">
        <v>2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>
      <c r="A677" s="2" t="s">
        <v>2</v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>
      <c r="A678" s="2" t="s">
        <v>2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>
      <c r="A679" s="2" t="s">
        <v>2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>
      <c r="A680" s="2" t="s">
        <v>2</v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>
      <c r="A681" s="2" t="s">
        <v>2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>
      <c r="A682" s="2" t="s">
        <v>2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>
      <c r="A683" s="2" t="s">
        <v>2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>
      <c r="A684" s="2" t="s">
        <v>2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>
      <c r="A685" s="2" t="s">
        <v>2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>
      <c r="A686" s="2" t="s">
        <v>2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>
      <c r="A687" s="2" t="s">
        <v>2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>
      <c r="A688" s="2" t="s">
        <v>2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>
      <c r="A689" s="2" t="s">
        <v>2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>
      <c r="A690" s="2" t="s">
        <v>2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>
      <c r="A691" s="2" t="s">
        <v>2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>
      <c r="A692" s="2" t="s">
        <v>2</v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>
      <c r="A693" s="2" t="s">
        <v>2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>
      <c r="A694" s="2" t="s">
        <v>2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>
      <c r="A695" s="2" t="s">
        <v>2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>
      <c r="A696" s="2" t="s">
        <v>2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>
      <c r="A697" s="2" t="s">
        <v>2</v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>
      <c r="A698" s="2" t="s">
        <v>2</v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>
      <c r="A699" s="2" t="s">
        <v>2</v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>
      <c r="A700" s="2" t="s">
        <v>2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>
      <c r="A701" s="2" t="s">
        <v>2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>
      <c r="A702" s="2" t="s">
        <v>2</v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>
      <c r="A703" s="2" t="s">
        <v>2</v>
      </c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>
      <c r="A704" s="2" t="s">
        <v>2</v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>
      <c r="A705" s="2" t="s">
        <v>2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>
      <c r="A706" s="2" t="s">
        <v>2</v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>
      <c r="A707" s="2" t="s">
        <v>2</v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>
      <c r="A708" s="2" t="s">
        <v>2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>
      <c r="A709" s="2" t="s">
        <v>2</v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>
      <c r="A710" s="2" t="s">
        <v>2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>
      <c r="A711" s="2" t="s">
        <v>2</v>
      </c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>
      <c r="A712" s="2" t="s">
        <v>2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>
      <c r="A713" s="2" t="s">
        <v>2</v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>
      <c r="A714" s="2" t="s">
        <v>2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>
      <c r="A715" s="2" t="s">
        <v>2</v>
      </c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>
      <c r="A716" s="2" t="s">
        <v>2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>
      <c r="A717" s="2" t="s">
        <v>2</v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>
      <c r="A718" s="2" t="s">
        <v>2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>
      <c r="A719" s="2" t="s">
        <v>2</v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>
      <c r="A720" s="2" t="s">
        <v>2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>
      <c r="A721" s="2" t="s">
        <v>2</v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>
      <c r="A722" s="2" t="s">
        <v>2</v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>
      <c r="A723" s="2" t="s">
        <v>2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>
      <c r="A724" s="2" t="s">
        <v>2</v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>
      <c r="A725" s="2" t="s">
        <v>2</v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>
      <c r="A726" s="2" t="s">
        <v>2</v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>
      <c r="A727" s="2" t="s">
        <v>2</v>
      </c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>
      <c r="A728" s="2" t="s">
        <v>2</v>
      </c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>
      <c r="A729" s="2" t="s">
        <v>2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>
      <c r="A730" s="2" t="s">
        <v>2</v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>
      <c r="A731" s="2" t="s">
        <v>2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>
      <c r="A732" s="2" t="s">
        <v>2</v>
      </c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>
      <c r="A733" s="2" t="s">
        <v>2</v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>
      <c r="A734" s="2" t="s">
        <v>2</v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>
      <c r="A735" s="2" t="s">
        <v>2</v>
      </c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>
      <c r="A736" s="2" t="s">
        <v>2</v>
      </c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>
      <c r="A737" s="2" t="s">
        <v>2</v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>
      <c r="A738" s="2" t="s">
        <v>2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>
      <c r="A739" s="2" t="s">
        <v>2</v>
      </c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>
      <c r="A740" s="2" t="s">
        <v>2</v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>
      <c r="A741" s="2" t="s">
        <v>2</v>
      </c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>
      <c r="A742" s="2" t="s">
        <v>2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>
      <c r="A743" s="2" t="s">
        <v>2</v>
      </c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>
      <c r="A744" s="2" t="s">
        <v>2</v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>
      <c r="A745" s="2" t="s">
        <v>2</v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>
      <c r="A746" s="2" t="s">
        <v>2</v>
      </c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>
      <c r="A747" s="2" t="s">
        <v>2</v>
      </c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>
      <c r="A748" s="2" t="s">
        <v>2</v>
      </c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>
      <c r="A749" s="2" t="s">
        <v>2</v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>
      <c r="A750" s="2" t="s">
        <v>2</v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>
      <c r="A751" s="2" t="s">
        <v>2</v>
      </c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>
      <c r="A752" s="2" t="s">
        <v>2</v>
      </c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>
      <c r="A753" s="2" t="s">
        <v>2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>
      <c r="A754" s="2" t="s">
        <v>2</v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>
      <c r="A755" s="2" t="s">
        <v>2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>
      <c r="A756" s="2" t="s">
        <v>2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>
      <c r="A757" s="2" t="s">
        <v>2</v>
      </c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>
      <c r="A758" s="2" t="s">
        <v>2</v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>
      <c r="A759" s="2" t="s">
        <v>2</v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>
      <c r="A760" s="2" t="s">
        <v>2</v>
      </c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>
      <c r="A761" s="2" t="s">
        <v>2</v>
      </c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>
      <c r="A762" s="2" t="s">
        <v>2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>
      <c r="A763" s="2" t="s">
        <v>2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>
      <c r="A764" s="2" t="s">
        <v>2</v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>
      <c r="A765" s="2" t="s">
        <v>2</v>
      </c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>
      <c r="A766" s="2" t="s">
        <v>2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>
      <c r="A767" s="2" t="s">
        <v>2</v>
      </c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>
      <c r="A768" s="2" t="s">
        <v>2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>
      <c r="A769" s="2" t="s">
        <v>2</v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>
      <c r="A770" s="2" t="s">
        <v>2</v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>
      <c r="A771" s="2" t="s">
        <v>2</v>
      </c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>
      <c r="A772" s="2" t="s">
        <v>2</v>
      </c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>
      <c r="A773" s="2" t="s">
        <v>2</v>
      </c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>
      <c r="A774" s="2" t="s">
        <v>2</v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>
      <c r="A775" s="2" t="s">
        <v>2</v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>
      <c r="A776" s="2" t="s">
        <v>2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>
      <c r="A777" s="2" t="s">
        <v>2</v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>
      <c r="A778" s="2" t="s">
        <v>2</v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>
      <c r="A779" s="2" t="s">
        <v>2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>
      <c r="A780" s="2" t="s">
        <v>2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>
      <c r="A781" s="2" t="s">
        <v>2</v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>
      <c r="A782" s="2" t="s">
        <v>2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>
      <c r="A783" s="2" t="s">
        <v>2</v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>
      <c r="A784" s="2" t="s">
        <v>2</v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>
      <c r="A785" s="2" t="s">
        <v>2</v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>
      <c r="A786" s="2" t="s">
        <v>2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>
      <c r="A787" s="2" t="s">
        <v>2</v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>
      <c r="A788" s="2" t="s">
        <v>2</v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>
      <c r="A789" s="2" t="s">
        <v>2</v>
      </c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>
      <c r="A790" s="2" t="s">
        <v>2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>
      <c r="A791" s="2" t="s">
        <v>2</v>
      </c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>
      <c r="A792" s="2" t="s">
        <v>2</v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>
      <c r="A793" s="2" t="s">
        <v>2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>
      <c r="A794" s="2" t="s">
        <v>2</v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>
      <c r="A795" s="2" t="s">
        <v>2</v>
      </c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>
      <c r="A796" s="2" t="s">
        <v>2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>
      <c r="A797" s="2" t="s">
        <v>2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>
      <c r="A798" s="2" t="s">
        <v>2</v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>
      <c r="A799" s="2" t="s">
        <v>2</v>
      </c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>
      <c r="A800" s="2" t="s">
        <v>2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>
      <c r="A801" s="2" t="s">
        <v>2</v>
      </c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>
      <c r="A802" s="2" t="s">
        <v>2</v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>
      <c r="A803" s="2" t="s">
        <v>2</v>
      </c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>
      <c r="A804" s="2" t="s">
        <v>2</v>
      </c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>
      <c r="A805" s="2" t="s">
        <v>2</v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>
      <c r="A806" s="2" t="s">
        <v>2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>
      <c r="A807" s="2" t="s">
        <v>2</v>
      </c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>
      <c r="A808" s="2" t="s">
        <v>2</v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>
      <c r="A809" s="2" t="s">
        <v>2</v>
      </c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>
      <c r="A810" s="2" t="s">
        <v>2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>
      <c r="A811" s="2" t="s">
        <v>2</v>
      </c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>
      <c r="A812" s="2" t="s">
        <v>2</v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>
      <c r="A813" s="2" t="s">
        <v>2</v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>
      <c r="A814" s="2" t="s">
        <v>2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>
      <c r="A815" s="2" t="s">
        <v>2</v>
      </c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>
      <c r="A816" s="2" t="s">
        <v>2</v>
      </c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>
      <c r="A817" s="2" t="s">
        <v>2</v>
      </c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>
      <c r="A818" s="2" t="s">
        <v>2</v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>
      <c r="A819" s="2" t="s">
        <v>2</v>
      </c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>
      <c r="A820" s="2" t="s">
        <v>2</v>
      </c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>
      <c r="A821" s="2" t="s">
        <v>2</v>
      </c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>
      <c r="A822" s="2" t="s">
        <v>2</v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>
      <c r="A823" s="2" t="s">
        <v>2</v>
      </c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>
      <c r="A824" s="2" t="s">
        <v>2</v>
      </c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>
      <c r="A825" s="2" t="s">
        <v>2</v>
      </c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>
      <c r="A826" s="2" t="s">
        <v>2</v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>
      <c r="A827" s="2" t="s">
        <v>2</v>
      </c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>
      <c r="A828" s="2" t="s">
        <v>2</v>
      </c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>
      <c r="A829" s="2" t="s">
        <v>2</v>
      </c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>
      <c r="A830" s="2" t="s">
        <v>2</v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>
      <c r="A831" s="2" t="s">
        <v>2</v>
      </c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>
      <c r="A832" s="2" t="s">
        <v>2</v>
      </c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>
      <c r="A833" s="2" t="s">
        <v>2</v>
      </c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>
      <c r="A834" s="2" t="s">
        <v>2</v>
      </c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>
      <c r="A835" s="2" t="s">
        <v>2</v>
      </c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>
      <c r="A836" s="2" t="s">
        <v>2</v>
      </c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>
      <c r="A837" s="2" t="s">
        <v>2</v>
      </c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>
      <c r="A838" s="2" t="s">
        <v>2</v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>
      <c r="A839" s="2" t="s">
        <v>2</v>
      </c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>
      <c r="A840" s="2" t="s">
        <v>2</v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>
      <c r="A841" s="2" t="s">
        <v>2</v>
      </c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>
      <c r="A842" s="2" t="s">
        <v>2</v>
      </c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>
      <c r="A843" s="2" t="s">
        <v>2</v>
      </c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>
      <c r="A844" s="2" t="s">
        <v>2</v>
      </c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>
      <c r="A845" s="2" t="s">
        <v>2</v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>
      <c r="A846" s="2" t="s">
        <v>2</v>
      </c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>
      <c r="A847" s="2" t="s">
        <v>2</v>
      </c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>
      <c r="A848" s="2" t="s">
        <v>2</v>
      </c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>
      <c r="A849" s="2" t="s">
        <v>2</v>
      </c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>
      <c r="A850" s="2" t="s">
        <v>2</v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>
      <c r="A851" s="2" t="s">
        <v>2</v>
      </c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>
      <c r="A852" s="2" t="s">
        <v>2</v>
      </c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>
      <c r="A853" s="2" t="s">
        <v>2</v>
      </c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>
      <c r="A854" s="2" t="s">
        <v>2</v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>
      <c r="A855" s="2" t="s">
        <v>2</v>
      </c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>
      <c r="A856" s="2" t="s">
        <v>2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>
      <c r="A857" s="2" t="s">
        <v>2</v>
      </c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>
      <c r="A858" s="2" t="s">
        <v>2</v>
      </c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>
      <c r="A859" s="2" t="s">
        <v>2</v>
      </c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>
      <c r="A860" s="2" t="s">
        <v>2</v>
      </c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>
      <c r="A861" s="2" t="s">
        <v>2</v>
      </c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>
      <c r="A862" s="2" t="s">
        <v>2</v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>
      <c r="A863" s="2" t="s">
        <v>2</v>
      </c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>
      <c r="A864" s="2" t="s">
        <v>2</v>
      </c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>
      <c r="A865" s="2" t="s">
        <v>2</v>
      </c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>
      <c r="A866" s="2" t="s">
        <v>2</v>
      </c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>
      <c r="A867" s="2" t="s">
        <v>2</v>
      </c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>
      <c r="A868" s="2" t="s">
        <v>2</v>
      </c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>
      <c r="A869" s="2" t="s">
        <v>2</v>
      </c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>
      <c r="A870" s="2" t="s">
        <v>2</v>
      </c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>
      <c r="A871" s="2" t="s">
        <v>2</v>
      </c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>
      <c r="A872" s="2" t="s">
        <v>2</v>
      </c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>
      <c r="A873" s="2" t="s">
        <v>2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>
      <c r="A874" s="2" t="s">
        <v>2</v>
      </c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>
      <c r="A875" s="2" t="s">
        <v>2</v>
      </c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>
      <c r="A876" s="2" t="s">
        <v>2</v>
      </c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>
      <c r="A877" s="2" t="s">
        <v>2</v>
      </c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>
      <c r="A878" s="2" t="s">
        <v>2</v>
      </c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>
      <c r="A879" s="2" t="s">
        <v>2</v>
      </c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>
      <c r="A880" s="2" t="s">
        <v>2</v>
      </c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>
      <c r="A881" s="2" t="s">
        <v>2</v>
      </c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>
      <c r="A882" s="2" t="s">
        <v>2</v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>
      <c r="A883" s="2" t="s">
        <v>2</v>
      </c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>
      <c r="A884" s="2" t="s">
        <v>2</v>
      </c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>
      <c r="A885" s="2" t="s">
        <v>2</v>
      </c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>
      <c r="A886" s="2" t="s">
        <v>2</v>
      </c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>
      <c r="A887" s="2" t="s">
        <v>2</v>
      </c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>
      <c r="A888" s="2" t="s">
        <v>2</v>
      </c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>
      <c r="A889" s="2" t="s">
        <v>2</v>
      </c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>
      <c r="A890" s="2" t="s">
        <v>2</v>
      </c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>
      <c r="A891" s="2" t="s">
        <v>2</v>
      </c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>
      <c r="A892" s="2" t="s">
        <v>2</v>
      </c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>
      <c r="A893" s="2" t="s">
        <v>2</v>
      </c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>
      <c r="A894" s="2" t="s">
        <v>2</v>
      </c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>
      <c r="A895" s="2" t="s">
        <v>2</v>
      </c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>
      <c r="A896" s="2" t="s">
        <v>2</v>
      </c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>
      <c r="A897" s="2" t="s">
        <v>2</v>
      </c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>
      <c r="A898" s="2" t="s">
        <v>2</v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>
      <c r="A899" s="2" t="s">
        <v>2</v>
      </c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>
      <c r="A900" s="2" t="s">
        <v>2</v>
      </c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>
      <c r="A901" s="2" t="s">
        <v>2</v>
      </c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>
      <c r="A902" s="2" t="s">
        <v>2</v>
      </c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>
      <c r="A903" s="2" t="s">
        <v>2</v>
      </c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>
      <c r="A904" s="2" t="s">
        <v>2</v>
      </c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>
      <c r="A905" s="2" t="s">
        <v>2</v>
      </c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>
      <c r="A906" s="2" t="s">
        <v>2</v>
      </c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>
      <c r="A907" s="2" t="s">
        <v>2</v>
      </c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>
      <c r="A908" s="2" t="s">
        <v>2</v>
      </c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>
      <c r="A909" s="2" t="s">
        <v>2</v>
      </c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>
      <c r="A910" s="2" t="s">
        <v>2</v>
      </c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>
      <c r="A911" s="2" t="s">
        <v>2</v>
      </c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>
      <c r="A912" s="2" t="s">
        <v>2</v>
      </c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>
      <c r="A913" s="2" t="s">
        <v>2</v>
      </c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>
      <c r="A914" s="2" t="s">
        <v>2</v>
      </c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>
      <c r="A915" s="2" t="s">
        <v>2</v>
      </c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>
      <c r="A916" s="2" t="s">
        <v>2</v>
      </c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>
      <c r="A917" s="2" t="s">
        <v>2</v>
      </c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>
      <c r="A918" s="2" t="s">
        <v>2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>
      <c r="A919" s="2" t="s">
        <v>2</v>
      </c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>
      <c r="A920" s="2" t="s">
        <v>2</v>
      </c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>
      <c r="A921" s="2" t="s">
        <v>2</v>
      </c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>
      <c r="A922" s="2" t="s">
        <v>2</v>
      </c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>
      <c r="A923" s="2" t="s">
        <v>2</v>
      </c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>
      <c r="A924" s="2" t="s">
        <v>2</v>
      </c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>
      <c r="A925" s="2" t="s">
        <v>2</v>
      </c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>
      <c r="A926" s="2" t="s">
        <v>2</v>
      </c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>
      <c r="A927" s="2" t="s">
        <v>2</v>
      </c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>
      <c r="A928" s="2" t="s">
        <v>2</v>
      </c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>
      <c r="A929" s="2" t="s">
        <v>2</v>
      </c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>
      <c r="A930" s="2" t="s">
        <v>2</v>
      </c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>
      <c r="A931" s="2" t="s">
        <v>2</v>
      </c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>
      <c r="A932" s="2" t="s">
        <v>2</v>
      </c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>
      <c r="A933" s="2" t="s">
        <v>2</v>
      </c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>
      <c r="A934" s="2" t="s">
        <v>2</v>
      </c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>
      <c r="A935" s="2" t="s">
        <v>2</v>
      </c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>
      <c r="A936" s="2" t="s">
        <v>2</v>
      </c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>
      <c r="A937" s="2" t="s">
        <v>2</v>
      </c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>
      <c r="A938" s="2" t="s">
        <v>2</v>
      </c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>
      <c r="A939" s="2" t="s">
        <v>2</v>
      </c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>
      <c r="A940" s="2" t="s">
        <v>2</v>
      </c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>
      <c r="A941" s="2" t="s">
        <v>2</v>
      </c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>
      <c r="A942" s="2" t="s">
        <v>2</v>
      </c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>
      <c r="A943" s="2" t="s">
        <v>2</v>
      </c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>
      <c r="A944" s="2" t="s">
        <v>2</v>
      </c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>
      <c r="A945" s="2" t="s">
        <v>2</v>
      </c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>
      <c r="A946" s="2" t="s">
        <v>2</v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>
      <c r="A947" s="2" t="s">
        <v>2</v>
      </c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>
      <c r="A948" s="2" t="s">
        <v>2</v>
      </c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>
      <c r="A949" s="2" t="s">
        <v>2</v>
      </c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>
      <c r="A950" s="2" t="s">
        <v>2</v>
      </c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>
      <c r="A951" s="2" t="s">
        <v>2</v>
      </c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</sheetData>
  <mergeCells count="3">
    <mergeCell ref="B74:M74"/>
    <mergeCell ref="B152:M152"/>
    <mergeCell ref="B230:M230"/>
  </mergeCells>
  <dataValidations>
    <dataValidation type="list" allowBlank="1" showErrorMessage="1" sqref="L1:L73 L75:L151 L153:L229 L231:L951">
      <formula1>Sheet2!$I$1:$I$2</formula1>
    </dataValidation>
    <dataValidation type="list" allowBlank="1" showErrorMessage="1" sqref="D1:D73 D75:D151 D153:D229 D231:D951">
      <formula1>Sheet2!$A$1:$A$5</formula1>
    </dataValidation>
    <dataValidation type="list" allowBlank="1" showErrorMessage="1" sqref="F1:F73 F75:F151 F153:F229 F231:F951">
      <formula1>Sheet2!$C$1:$C$2</formula1>
    </dataValidation>
    <dataValidation type="list" allowBlank="1" showErrorMessage="1" sqref="H1:H73 H75:H151 H153:H229 H231:H951">
      <formula1>Sheet2!$E$1:$E$2</formula1>
    </dataValidation>
    <dataValidation type="list" allowBlank="1" showErrorMessage="1" sqref="J1:J73 J75:J151 J153:J229 J231:J951">
      <formula1>Sheet2!$G$1:$G$5</formula1>
    </dataValidation>
    <dataValidation type="list" allowBlank="1" showErrorMessage="1" sqref="K1:K73 K75:K151 K153:K229 K231:K951">
      <formula1>Sheet2!$H$1:$H$2</formula1>
    </dataValidation>
    <dataValidation type="list" allowBlank="1" showErrorMessage="1" sqref="G1:G73 G75:G151 G153:G229 G231:G951">
      <formula1>Sheet2!$D$1:$D$5</formula1>
    </dataValidation>
  </dataValidations>
  <hyperlinks>
    <hyperlink r:id="rId1" ref="C1"/>
    <hyperlink r:id="rId2" ref="M1"/>
    <hyperlink r:id="rId3" ref="C2"/>
    <hyperlink r:id="rId4" ref="M2"/>
    <hyperlink r:id="rId5" ref="C3"/>
    <hyperlink r:id="rId6" ref="M3"/>
    <hyperlink r:id="rId7" ref="C4"/>
    <hyperlink r:id="rId8" ref="M4"/>
    <hyperlink r:id="rId9" ref="C5"/>
    <hyperlink r:id="rId10" ref="M5"/>
    <hyperlink r:id="rId11" ref="C6"/>
    <hyperlink r:id="rId12" ref="M6"/>
    <hyperlink r:id="rId13" ref="C7"/>
    <hyperlink r:id="rId14" ref="M7"/>
    <hyperlink r:id="rId15" ref="C8"/>
    <hyperlink r:id="rId16" ref="M8"/>
    <hyperlink r:id="rId17" ref="C9"/>
    <hyperlink r:id="rId18" ref="M9"/>
    <hyperlink r:id="rId19" ref="C10"/>
    <hyperlink r:id="rId20" ref="M10"/>
    <hyperlink r:id="rId21" ref="C11"/>
    <hyperlink r:id="rId22" ref="M11"/>
    <hyperlink r:id="rId23" ref="C12"/>
    <hyperlink r:id="rId24" ref="M12"/>
    <hyperlink r:id="rId25" ref="C13"/>
    <hyperlink r:id="rId26" ref="M13"/>
    <hyperlink r:id="rId27" ref="C14"/>
    <hyperlink r:id="rId28" ref="M14"/>
    <hyperlink r:id="rId29" ref="C15"/>
    <hyperlink r:id="rId30" ref="M15"/>
    <hyperlink r:id="rId31" ref="C16"/>
    <hyperlink r:id="rId32" ref="M16"/>
    <hyperlink r:id="rId33" ref="C17"/>
    <hyperlink r:id="rId34" ref="M17"/>
    <hyperlink r:id="rId35" ref="C18"/>
    <hyperlink r:id="rId36" ref="M18"/>
    <hyperlink r:id="rId37" ref="C19"/>
    <hyperlink r:id="rId38" ref="M19"/>
    <hyperlink r:id="rId39" ref="C20"/>
    <hyperlink r:id="rId40" ref="M20"/>
    <hyperlink r:id="rId41" ref="C21"/>
    <hyperlink r:id="rId42" ref="M21"/>
    <hyperlink r:id="rId43" ref="C22"/>
    <hyperlink r:id="rId44" ref="M22"/>
    <hyperlink r:id="rId45" ref="C23"/>
    <hyperlink r:id="rId46" ref="M23"/>
    <hyperlink r:id="rId47" ref="C24"/>
    <hyperlink r:id="rId48" ref="M24"/>
    <hyperlink r:id="rId49" ref="C25"/>
    <hyperlink r:id="rId50" ref="M25"/>
    <hyperlink r:id="rId51" ref="C26"/>
    <hyperlink r:id="rId52" ref="M26"/>
    <hyperlink r:id="rId53" ref="C27"/>
    <hyperlink r:id="rId54" ref="M27"/>
    <hyperlink r:id="rId55" ref="C28"/>
    <hyperlink r:id="rId56" ref="M28"/>
    <hyperlink r:id="rId57" ref="C29"/>
    <hyperlink r:id="rId58" ref="M29"/>
    <hyperlink r:id="rId59" ref="C30"/>
    <hyperlink r:id="rId60" ref="M30"/>
    <hyperlink r:id="rId61" ref="C31"/>
    <hyperlink r:id="rId62" ref="M31"/>
    <hyperlink r:id="rId63" ref="C32"/>
    <hyperlink r:id="rId64" ref="M32"/>
    <hyperlink r:id="rId65" ref="C33"/>
    <hyperlink r:id="rId66" ref="M33"/>
    <hyperlink r:id="rId67" ref="C34"/>
    <hyperlink r:id="rId68" ref="M34"/>
    <hyperlink r:id="rId69" ref="C35"/>
    <hyperlink r:id="rId70" ref="M35"/>
    <hyperlink r:id="rId71" ref="C36"/>
    <hyperlink r:id="rId72" ref="M36"/>
    <hyperlink r:id="rId73" ref="C37"/>
    <hyperlink r:id="rId74" ref="M37"/>
    <hyperlink r:id="rId75" ref="C38"/>
    <hyperlink r:id="rId76" ref="M38"/>
    <hyperlink r:id="rId77" ref="C39"/>
    <hyperlink r:id="rId78" ref="M39"/>
    <hyperlink r:id="rId79" ref="C40"/>
    <hyperlink r:id="rId80" ref="M40"/>
    <hyperlink r:id="rId81" ref="C41"/>
    <hyperlink r:id="rId82" ref="M41"/>
    <hyperlink r:id="rId83" ref="C42"/>
    <hyperlink r:id="rId84" ref="M42"/>
    <hyperlink r:id="rId85" ref="C43"/>
    <hyperlink r:id="rId86" ref="M43"/>
    <hyperlink r:id="rId87" ref="C44"/>
    <hyperlink r:id="rId88" ref="M44"/>
    <hyperlink r:id="rId89" ref="C45"/>
    <hyperlink r:id="rId90" ref="M45"/>
    <hyperlink r:id="rId91" ref="C46"/>
    <hyperlink r:id="rId92" ref="M46"/>
    <hyperlink r:id="rId93" ref="C47"/>
    <hyperlink r:id="rId94" ref="M47"/>
    <hyperlink r:id="rId95" ref="C48"/>
    <hyperlink r:id="rId96" ref="M48"/>
    <hyperlink r:id="rId97" ref="C49"/>
    <hyperlink r:id="rId98" ref="M49"/>
    <hyperlink r:id="rId99" ref="C50"/>
    <hyperlink r:id="rId100" ref="M50"/>
    <hyperlink r:id="rId101" ref="C51"/>
    <hyperlink r:id="rId102" ref="M51"/>
    <hyperlink r:id="rId103" ref="C52"/>
    <hyperlink r:id="rId104" ref="M52"/>
    <hyperlink r:id="rId105" ref="C53"/>
    <hyperlink r:id="rId106" ref="M53"/>
    <hyperlink r:id="rId107" ref="C54"/>
    <hyperlink r:id="rId108" ref="M54"/>
    <hyperlink r:id="rId109" ref="C55"/>
    <hyperlink r:id="rId110" ref="M55"/>
    <hyperlink r:id="rId111" ref="C56"/>
    <hyperlink r:id="rId112" ref="M56"/>
    <hyperlink r:id="rId113" ref="C57"/>
    <hyperlink r:id="rId114" ref="M57"/>
    <hyperlink r:id="rId115" ref="C58"/>
    <hyperlink r:id="rId116" ref="M58"/>
    <hyperlink r:id="rId117" ref="C59"/>
    <hyperlink r:id="rId118" ref="M59"/>
    <hyperlink r:id="rId119" ref="C60"/>
    <hyperlink r:id="rId120" ref="M60"/>
    <hyperlink r:id="rId121" ref="C61"/>
    <hyperlink r:id="rId122" ref="M61"/>
    <hyperlink r:id="rId123" ref="C62"/>
    <hyperlink r:id="rId124" ref="M62"/>
    <hyperlink r:id="rId125" ref="C63"/>
    <hyperlink r:id="rId126" ref="M63"/>
    <hyperlink r:id="rId127" ref="C64"/>
    <hyperlink r:id="rId128" ref="M64"/>
    <hyperlink r:id="rId129" ref="C65"/>
    <hyperlink r:id="rId130" ref="M65"/>
    <hyperlink r:id="rId131" ref="C66"/>
    <hyperlink r:id="rId132" ref="M66"/>
    <hyperlink r:id="rId133" ref="C67"/>
    <hyperlink r:id="rId134" ref="M67"/>
    <hyperlink r:id="rId135" ref="C68"/>
    <hyperlink r:id="rId136" ref="M68"/>
    <hyperlink r:id="rId137" ref="C69"/>
    <hyperlink r:id="rId138" ref="M69"/>
    <hyperlink r:id="rId139" ref="C70"/>
    <hyperlink r:id="rId140" ref="M70"/>
    <hyperlink r:id="rId141" ref="C71"/>
    <hyperlink r:id="rId142" ref="M71"/>
    <hyperlink r:id="rId143" ref="C72"/>
    <hyperlink r:id="rId144" ref="M72"/>
    <hyperlink r:id="rId145" ref="C73"/>
    <hyperlink r:id="rId146" ref="M73"/>
    <hyperlink r:id="rId147" ref="C75"/>
    <hyperlink r:id="rId148" ref="M75"/>
    <hyperlink r:id="rId149" ref="C76"/>
    <hyperlink r:id="rId150" ref="M76"/>
    <hyperlink r:id="rId151" ref="C77"/>
    <hyperlink r:id="rId152" ref="M77"/>
    <hyperlink r:id="rId153" ref="C78"/>
    <hyperlink r:id="rId154" ref="M78"/>
    <hyperlink r:id="rId155" ref="C79"/>
    <hyperlink r:id="rId156" ref="M79"/>
    <hyperlink r:id="rId157" ref="C80"/>
    <hyperlink r:id="rId158" ref="M80"/>
    <hyperlink r:id="rId159" ref="C81"/>
    <hyperlink r:id="rId160" ref="M81"/>
    <hyperlink r:id="rId161" ref="C82"/>
    <hyperlink r:id="rId162" ref="M82"/>
    <hyperlink r:id="rId163" ref="C83"/>
    <hyperlink r:id="rId164" ref="M83"/>
    <hyperlink r:id="rId165" ref="C84"/>
    <hyperlink r:id="rId166" ref="M84"/>
    <hyperlink r:id="rId167" ref="C85"/>
    <hyperlink r:id="rId168" ref="M85"/>
    <hyperlink r:id="rId169" ref="C86"/>
    <hyperlink r:id="rId170" ref="M86"/>
    <hyperlink r:id="rId171" ref="C87"/>
    <hyperlink r:id="rId172" ref="M87"/>
    <hyperlink r:id="rId173" ref="C88"/>
    <hyperlink r:id="rId174" ref="M88"/>
    <hyperlink r:id="rId175" ref="C89"/>
    <hyperlink r:id="rId176" ref="M89"/>
    <hyperlink r:id="rId177" ref="C90"/>
    <hyperlink r:id="rId178" ref="M90"/>
    <hyperlink r:id="rId179" ref="C91"/>
    <hyperlink r:id="rId180" ref="M91"/>
    <hyperlink r:id="rId181" ref="C92"/>
    <hyperlink r:id="rId182" ref="M92"/>
    <hyperlink r:id="rId183" ref="C93"/>
    <hyperlink r:id="rId184" ref="M93"/>
    <hyperlink r:id="rId185" ref="C94"/>
    <hyperlink r:id="rId186" ref="M94"/>
    <hyperlink r:id="rId187" ref="C95"/>
    <hyperlink r:id="rId188" ref="M95"/>
    <hyperlink r:id="rId189" ref="C96"/>
    <hyperlink r:id="rId190" ref="M96"/>
    <hyperlink r:id="rId191" ref="C97"/>
    <hyperlink r:id="rId192" ref="M97"/>
    <hyperlink r:id="rId193" ref="C98"/>
    <hyperlink r:id="rId194" ref="M98"/>
    <hyperlink r:id="rId195" ref="C99"/>
    <hyperlink r:id="rId196" ref="M99"/>
    <hyperlink r:id="rId197" ref="C100"/>
    <hyperlink r:id="rId198" ref="M100"/>
    <hyperlink r:id="rId199" ref="C101"/>
    <hyperlink r:id="rId200" ref="M101"/>
    <hyperlink r:id="rId201" ref="C102"/>
    <hyperlink r:id="rId202" ref="M102"/>
    <hyperlink r:id="rId203" ref="C103"/>
    <hyperlink r:id="rId204" ref="M103"/>
    <hyperlink r:id="rId205" ref="C104"/>
    <hyperlink r:id="rId206" ref="M104"/>
    <hyperlink r:id="rId207" ref="C105"/>
    <hyperlink r:id="rId208" ref="M105"/>
    <hyperlink r:id="rId209" ref="C106"/>
    <hyperlink r:id="rId210" ref="M106"/>
    <hyperlink r:id="rId211" ref="C107"/>
    <hyperlink r:id="rId212" ref="M107"/>
    <hyperlink r:id="rId213" ref="C108"/>
    <hyperlink r:id="rId214" ref="M108"/>
    <hyperlink r:id="rId215" ref="C109"/>
    <hyperlink r:id="rId216" ref="M109"/>
    <hyperlink r:id="rId217" ref="C110"/>
    <hyperlink r:id="rId218" ref="M110"/>
    <hyperlink r:id="rId219" ref="C111"/>
    <hyperlink r:id="rId220" ref="M111"/>
    <hyperlink r:id="rId221" ref="C112"/>
    <hyperlink r:id="rId222" ref="M112"/>
    <hyperlink r:id="rId223" ref="C113"/>
    <hyperlink r:id="rId224" ref="M113"/>
    <hyperlink r:id="rId225" ref="C114"/>
    <hyperlink r:id="rId226" ref="M114"/>
    <hyperlink r:id="rId227" ref="C115"/>
    <hyperlink r:id="rId228" ref="M115"/>
    <hyperlink r:id="rId229" ref="C116"/>
    <hyperlink r:id="rId230" ref="M116"/>
    <hyperlink r:id="rId231" ref="C117"/>
    <hyperlink r:id="rId232" ref="M117"/>
    <hyperlink r:id="rId233" ref="C118"/>
    <hyperlink r:id="rId234" ref="M118"/>
    <hyperlink r:id="rId235" ref="C119"/>
    <hyperlink r:id="rId236" ref="M119"/>
    <hyperlink r:id="rId237" ref="C120"/>
    <hyperlink r:id="rId238" ref="M120"/>
    <hyperlink r:id="rId239" ref="C121"/>
    <hyperlink r:id="rId240" ref="M121"/>
    <hyperlink r:id="rId241" ref="C122"/>
    <hyperlink r:id="rId242" ref="M122"/>
    <hyperlink r:id="rId243" ref="C123"/>
    <hyperlink r:id="rId244" ref="M123"/>
    <hyperlink r:id="rId245" ref="C124"/>
    <hyperlink r:id="rId246" ref="M124"/>
    <hyperlink r:id="rId247" ref="C125"/>
    <hyperlink r:id="rId248" ref="M125"/>
    <hyperlink r:id="rId249" ref="C126"/>
    <hyperlink r:id="rId250" ref="M126"/>
    <hyperlink r:id="rId251" ref="C127"/>
    <hyperlink r:id="rId252" ref="M127"/>
    <hyperlink r:id="rId253" ref="C128"/>
    <hyperlink r:id="rId254" ref="M128"/>
    <hyperlink r:id="rId255" ref="C129"/>
    <hyperlink r:id="rId256" ref="M129"/>
    <hyperlink r:id="rId257" ref="C130"/>
    <hyperlink r:id="rId258" ref="M130"/>
    <hyperlink r:id="rId259" ref="C131"/>
    <hyperlink r:id="rId260" ref="M131"/>
    <hyperlink r:id="rId261" ref="C132"/>
    <hyperlink r:id="rId262" ref="M132"/>
    <hyperlink r:id="rId263" ref="C133"/>
    <hyperlink r:id="rId264" ref="M133"/>
    <hyperlink r:id="rId265" ref="C134"/>
    <hyperlink r:id="rId266" ref="M134"/>
    <hyperlink r:id="rId267" ref="C135"/>
    <hyperlink r:id="rId268" ref="M135"/>
    <hyperlink r:id="rId269" ref="C136"/>
    <hyperlink r:id="rId270" ref="M136"/>
    <hyperlink r:id="rId271" ref="C137"/>
    <hyperlink r:id="rId272" ref="M137"/>
    <hyperlink r:id="rId273" ref="C138"/>
    <hyperlink r:id="rId274" ref="M138"/>
    <hyperlink r:id="rId275" ref="C139"/>
    <hyperlink r:id="rId276" ref="M139"/>
    <hyperlink r:id="rId277" ref="C140"/>
    <hyperlink r:id="rId278" ref="M140"/>
    <hyperlink r:id="rId279" ref="C141"/>
    <hyperlink r:id="rId280" ref="M141"/>
    <hyperlink r:id="rId281" ref="C142"/>
    <hyperlink r:id="rId282" ref="M142"/>
    <hyperlink r:id="rId283" ref="C143"/>
    <hyperlink r:id="rId284" ref="M143"/>
    <hyperlink r:id="rId285" ref="C144"/>
    <hyperlink r:id="rId286" ref="M144"/>
    <hyperlink r:id="rId287" ref="C145"/>
    <hyperlink r:id="rId288" ref="M145"/>
    <hyperlink r:id="rId289" ref="C146"/>
    <hyperlink r:id="rId290" ref="M146"/>
    <hyperlink r:id="rId291" ref="C147"/>
    <hyperlink r:id="rId292" ref="M147"/>
    <hyperlink r:id="rId293" ref="C148"/>
    <hyperlink r:id="rId294" ref="M148"/>
    <hyperlink r:id="rId295" ref="C149"/>
    <hyperlink r:id="rId296" ref="M149"/>
    <hyperlink r:id="rId297" ref="C150"/>
    <hyperlink r:id="rId298" ref="M150"/>
    <hyperlink r:id="rId299" ref="C151"/>
    <hyperlink r:id="rId300" ref="M151"/>
    <hyperlink r:id="rId301" ref="C153"/>
    <hyperlink r:id="rId302" ref="M153"/>
    <hyperlink r:id="rId303" ref="C154"/>
    <hyperlink r:id="rId304" ref="M154"/>
    <hyperlink r:id="rId305" ref="C155"/>
    <hyperlink r:id="rId306" ref="M155"/>
    <hyperlink r:id="rId307" ref="C156"/>
    <hyperlink r:id="rId308" ref="M156"/>
    <hyperlink r:id="rId309" ref="C157"/>
    <hyperlink r:id="rId310" ref="M157"/>
    <hyperlink r:id="rId311" ref="C158"/>
    <hyperlink r:id="rId312" ref="M158"/>
    <hyperlink r:id="rId313" ref="C159"/>
    <hyperlink r:id="rId314" ref="M159"/>
    <hyperlink r:id="rId315" ref="C160"/>
    <hyperlink r:id="rId316" ref="M160"/>
    <hyperlink r:id="rId317" ref="C161"/>
    <hyperlink r:id="rId318" ref="M161"/>
    <hyperlink r:id="rId319" ref="C162"/>
    <hyperlink r:id="rId320" ref="M162"/>
    <hyperlink r:id="rId321" ref="C163"/>
    <hyperlink r:id="rId322" ref="M163"/>
    <hyperlink r:id="rId323" ref="C164"/>
    <hyperlink r:id="rId324" ref="M164"/>
    <hyperlink r:id="rId325" ref="C165"/>
    <hyperlink r:id="rId326" ref="M165"/>
    <hyperlink r:id="rId327" ref="C166"/>
    <hyperlink r:id="rId328" ref="M166"/>
    <hyperlink r:id="rId329" ref="C167"/>
    <hyperlink r:id="rId330" ref="M167"/>
    <hyperlink r:id="rId331" ref="C168"/>
    <hyperlink r:id="rId332" ref="M168"/>
    <hyperlink r:id="rId333" ref="C169"/>
    <hyperlink r:id="rId334" ref="M169"/>
    <hyperlink r:id="rId335" ref="C170"/>
    <hyperlink r:id="rId336" ref="M170"/>
    <hyperlink r:id="rId337" ref="C171"/>
    <hyperlink r:id="rId338" ref="M171"/>
    <hyperlink r:id="rId339" ref="C172"/>
    <hyperlink r:id="rId340" ref="M172"/>
    <hyperlink r:id="rId341" ref="C173"/>
    <hyperlink r:id="rId342" ref="M173"/>
    <hyperlink r:id="rId343" ref="C174"/>
    <hyperlink r:id="rId344" ref="M174"/>
    <hyperlink r:id="rId345" ref="C175"/>
    <hyperlink r:id="rId346" ref="M175"/>
    <hyperlink r:id="rId347" ref="C176"/>
    <hyperlink r:id="rId348" ref="M176"/>
    <hyperlink r:id="rId349" ref="C177"/>
    <hyperlink r:id="rId350" ref="M177"/>
    <hyperlink r:id="rId351" ref="C178"/>
    <hyperlink r:id="rId352" ref="M178"/>
    <hyperlink r:id="rId353" ref="C179"/>
    <hyperlink r:id="rId354" ref="M179"/>
    <hyperlink r:id="rId355" ref="C180"/>
    <hyperlink r:id="rId356" ref="M180"/>
    <hyperlink r:id="rId357" ref="C181"/>
    <hyperlink r:id="rId358" ref="M181"/>
    <hyperlink r:id="rId359" ref="C182"/>
    <hyperlink r:id="rId360" ref="M182"/>
    <hyperlink r:id="rId361" ref="C183"/>
    <hyperlink r:id="rId362" ref="M183"/>
    <hyperlink r:id="rId363" ref="C184"/>
    <hyperlink r:id="rId364" ref="M184"/>
    <hyperlink r:id="rId365" ref="C185"/>
    <hyperlink r:id="rId366" ref="M185"/>
    <hyperlink r:id="rId367" ref="C186"/>
    <hyperlink r:id="rId368" ref="M186"/>
    <hyperlink r:id="rId369" ref="C187"/>
    <hyperlink r:id="rId370" ref="M187"/>
    <hyperlink r:id="rId371" ref="C188"/>
    <hyperlink r:id="rId372" ref="M188"/>
    <hyperlink r:id="rId373" ref="C189"/>
    <hyperlink r:id="rId374" ref="M189"/>
    <hyperlink r:id="rId375" ref="C190"/>
    <hyperlink r:id="rId376" ref="M190"/>
    <hyperlink r:id="rId377" ref="C191"/>
    <hyperlink r:id="rId378" ref="M191"/>
    <hyperlink r:id="rId379" ref="C192"/>
    <hyperlink r:id="rId380" ref="M192"/>
    <hyperlink r:id="rId381" ref="C193"/>
    <hyperlink r:id="rId382" ref="M193"/>
    <hyperlink r:id="rId383" ref="C194"/>
    <hyperlink r:id="rId384" ref="M194"/>
    <hyperlink r:id="rId385" ref="C195"/>
    <hyperlink r:id="rId386" ref="M195"/>
    <hyperlink r:id="rId387" ref="C196"/>
    <hyperlink r:id="rId388" ref="M196"/>
    <hyperlink r:id="rId389" ref="C197"/>
    <hyperlink r:id="rId390" ref="M197"/>
    <hyperlink r:id="rId391" ref="C198"/>
    <hyperlink r:id="rId392" ref="M198"/>
    <hyperlink r:id="rId393" ref="C199"/>
    <hyperlink r:id="rId394" ref="M199"/>
    <hyperlink r:id="rId395" ref="C200"/>
    <hyperlink r:id="rId396" ref="M200"/>
    <hyperlink r:id="rId397" ref="C201"/>
    <hyperlink r:id="rId398" ref="M201"/>
    <hyperlink r:id="rId399" ref="C202"/>
    <hyperlink r:id="rId400" ref="M202"/>
    <hyperlink r:id="rId401" ref="C203"/>
    <hyperlink r:id="rId402" ref="M203"/>
    <hyperlink r:id="rId403" ref="C204"/>
    <hyperlink r:id="rId404" ref="M204"/>
    <hyperlink r:id="rId405" ref="C205"/>
    <hyperlink r:id="rId406" ref="M205"/>
    <hyperlink r:id="rId407" ref="C206"/>
    <hyperlink r:id="rId408" ref="M206"/>
    <hyperlink r:id="rId409" ref="C207"/>
    <hyperlink r:id="rId410" ref="M207"/>
    <hyperlink r:id="rId411" ref="C208"/>
    <hyperlink r:id="rId412" ref="M208"/>
    <hyperlink r:id="rId413" ref="C209"/>
    <hyperlink r:id="rId414" ref="M209"/>
    <hyperlink r:id="rId415" ref="C210"/>
    <hyperlink r:id="rId416" ref="M210"/>
    <hyperlink r:id="rId417" ref="C211"/>
    <hyperlink r:id="rId418" ref="M211"/>
    <hyperlink r:id="rId419" ref="C212"/>
    <hyperlink r:id="rId420" ref="M212"/>
    <hyperlink r:id="rId421" ref="C213"/>
    <hyperlink r:id="rId422" ref="M213"/>
    <hyperlink r:id="rId423" ref="C214"/>
    <hyperlink r:id="rId424" ref="M214"/>
    <hyperlink r:id="rId425" ref="C215"/>
    <hyperlink r:id="rId426" ref="M215"/>
    <hyperlink r:id="rId427" ref="C216"/>
    <hyperlink r:id="rId428" ref="M216"/>
    <hyperlink r:id="rId429" ref="C217"/>
    <hyperlink r:id="rId430" ref="M217"/>
    <hyperlink r:id="rId431" ref="C218"/>
    <hyperlink r:id="rId432" ref="M218"/>
    <hyperlink r:id="rId433" ref="C219"/>
    <hyperlink r:id="rId434" ref="M219"/>
    <hyperlink r:id="rId435" ref="C220"/>
    <hyperlink r:id="rId436" ref="M220"/>
    <hyperlink r:id="rId437" ref="C221"/>
    <hyperlink r:id="rId438" ref="M221"/>
    <hyperlink r:id="rId439" ref="C222"/>
    <hyperlink r:id="rId440" ref="M222"/>
    <hyperlink r:id="rId441" ref="C223"/>
    <hyperlink r:id="rId442" ref="M223"/>
    <hyperlink r:id="rId443" ref="C224"/>
    <hyperlink r:id="rId444" ref="M224"/>
    <hyperlink r:id="rId445" ref="C225"/>
    <hyperlink r:id="rId446" ref="M225"/>
    <hyperlink r:id="rId447" ref="C226"/>
    <hyperlink r:id="rId448" ref="M226"/>
    <hyperlink r:id="rId449" ref="C227"/>
    <hyperlink r:id="rId450" ref="M227"/>
    <hyperlink r:id="rId451" ref="C228"/>
    <hyperlink r:id="rId452" ref="M228"/>
    <hyperlink r:id="rId453" ref="C229"/>
    <hyperlink r:id="rId454" ref="M229"/>
    <hyperlink r:id="rId455" ref="C231"/>
    <hyperlink r:id="rId456" ref="C232"/>
    <hyperlink r:id="rId457" ref="C233"/>
    <hyperlink r:id="rId458" ref="C234"/>
    <hyperlink r:id="rId459" ref="C235"/>
    <hyperlink r:id="rId460" ref="C236"/>
    <hyperlink r:id="rId461" ref="C237"/>
    <hyperlink r:id="rId462" ref="C238"/>
    <hyperlink r:id="rId463" ref="C239"/>
    <hyperlink r:id="rId464" ref="C240"/>
    <hyperlink r:id="rId465" ref="C241"/>
    <hyperlink r:id="rId466" ref="C242"/>
    <hyperlink r:id="rId467" ref="C243"/>
    <hyperlink r:id="rId468" ref="C244"/>
    <hyperlink r:id="rId469" ref="C245"/>
    <hyperlink r:id="rId470" ref="C246"/>
    <hyperlink r:id="rId471" ref="C247"/>
    <hyperlink r:id="rId472" ref="C248"/>
    <hyperlink r:id="rId473" ref="C249"/>
    <hyperlink r:id="rId474" ref="C250"/>
    <hyperlink r:id="rId475" ref="C251"/>
    <hyperlink r:id="rId476" ref="C252"/>
    <hyperlink r:id="rId477" ref="C253"/>
    <hyperlink r:id="rId478" ref="C254"/>
    <hyperlink r:id="rId479" ref="C255"/>
    <hyperlink r:id="rId480" ref="C256"/>
    <hyperlink r:id="rId481" ref="C257"/>
    <hyperlink r:id="rId482" ref="C258"/>
    <hyperlink r:id="rId483" ref="C259"/>
    <hyperlink r:id="rId484" ref="C260"/>
    <hyperlink r:id="rId485" ref="C261"/>
    <hyperlink r:id="rId486" ref="C262"/>
    <hyperlink r:id="rId487" ref="C263"/>
    <hyperlink r:id="rId488" ref="C264"/>
    <hyperlink r:id="rId489" ref="C265"/>
    <hyperlink r:id="rId490" ref="C266"/>
    <hyperlink r:id="rId491" ref="C267"/>
    <hyperlink r:id="rId492" ref="C268"/>
    <hyperlink r:id="rId493" ref="C269"/>
    <hyperlink r:id="rId494" ref="C270"/>
    <hyperlink r:id="rId495" ref="C271"/>
    <hyperlink r:id="rId496" ref="C272"/>
    <hyperlink r:id="rId497" ref="C273"/>
    <hyperlink r:id="rId498" ref="C274"/>
    <hyperlink r:id="rId499" ref="C275"/>
    <hyperlink r:id="rId500" ref="C276"/>
    <hyperlink r:id="rId501" ref="C277"/>
    <hyperlink r:id="rId502" ref="C278"/>
    <hyperlink r:id="rId503" ref="C279"/>
    <hyperlink r:id="rId504" ref="C280"/>
    <hyperlink r:id="rId505" ref="C281"/>
    <hyperlink r:id="rId506" ref="C282"/>
    <hyperlink r:id="rId507" ref="C283"/>
    <hyperlink r:id="rId508" ref="C284"/>
    <hyperlink r:id="rId509" ref="C285"/>
    <hyperlink r:id="rId510" ref="C286"/>
    <hyperlink r:id="rId511" ref="C287"/>
    <hyperlink r:id="rId512" ref="C288"/>
    <hyperlink r:id="rId513" ref="C289"/>
    <hyperlink r:id="rId514" ref="C290"/>
    <hyperlink r:id="rId515" ref="C291"/>
    <hyperlink r:id="rId516" ref="C292"/>
    <hyperlink r:id="rId517" ref="C293"/>
    <hyperlink r:id="rId518" ref="C294"/>
    <hyperlink r:id="rId519" ref="C295"/>
    <hyperlink r:id="rId520" ref="C296"/>
    <hyperlink r:id="rId521" ref="C297"/>
    <hyperlink r:id="rId522" ref="C298"/>
    <hyperlink r:id="rId523" ref="C299"/>
    <hyperlink r:id="rId524" ref="C300"/>
    <hyperlink r:id="rId525" ref="C301"/>
    <hyperlink r:id="rId526" ref="C302"/>
    <hyperlink r:id="rId527" ref="C303"/>
    <hyperlink r:id="rId528" ref="C304"/>
    <hyperlink r:id="rId529" ref="C305"/>
    <hyperlink r:id="rId530" ref="C306"/>
    <hyperlink r:id="rId531" ref="C307"/>
    <hyperlink r:id="rId532" ref="C308"/>
    <hyperlink r:id="rId533" ref="M308"/>
    <hyperlink r:id="rId534" ref="C309"/>
    <hyperlink r:id="rId535" ref="M309"/>
    <hyperlink r:id="rId536" ref="C310"/>
    <hyperlink r:id="rId537" ref="M310"/>
    <hyperlink r:id="rId538" ref="C311"/>
    <hyperlink r:id="rId539" ref="C312"/>
    <hyperlink r:id="rId540" ref="C313"/>
    <hyperlink r:id="rId541" ref="C314"/>
    <hyperlink r:id="rId542" location="google_vignette" ref="C315"/>
    <hyperlink r:id="rId543" ref="C316"/>
    <hyperlink r:id="rId544" location="google_vignette" ref="C317"/>
    <hyperlink r:id="rId545" ref="C318"/>
    <hyperlink r:id="rId546" ref="C319"/>
  </hyperlinks>
  <drawing r:id="rId5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L1" s="5" t="str">
        <f t="shared" ref="L1:L77" si="1">"Patrika " &amp;M1</f>
        <v>Patrika Uttar Pradesh</v>
      </c>
      <c r="M1" s="5" t="s">
        <v>0</v>
      </c>
      <c r="N1" s="5" t="s">
        <v>15</v>
      </c>
      <c r="R1" s="9" t="s">
        <v>18</v>
      </c>
      <c r="S1" s="14" t="str">
        <f t="array" ref="S1:S77">R1:R77</f>
        <v>https://www.patrika.com/uttar-pradesh-news</v>
      </c>
      <c r="V1" s="15" t="s">
        <v>31</v>
      </c>
      <c r="W1" s="15" t="s">
        <v>40</v>
      </c>
      <c r="X1" s="15" t="s">
        <v>41</v>
      </c>
    </row>
    <row r="2">
      <c r="A2" s="16" t="s">
        <v>44</v>
      </c>
      <c r="G2" s="17" t="s">
        <v>0</v>
      </c>
      <c r="H2" s="5" t="s">
        <v>15</v>
      </c>
      <c r="L2" s="5" t="str">
        <f t="shared" si="1"/>
        <v>Patrika Agra</v>
      </c>
      <c r="M2" s="5" t="s">
        <v>49</v>
      </c>
      <c r="N2" s="5" t="s">
        <v>50</v>
      </c>
      <c r="R2" s="14" t="str">
        <f>IFERROR(__xludf.DUMMYFUNCTION("""https://www.patrika.com/"" &amp; LOWER(REGEXREPLACE(M2, ""\s+"", ""-"")) &amp; ""-news"""),"https://www.patrika.com/agra-news")</f>
        <v>https://www.patrika.com/agra-news</v>
      </c>
      <c r="S2" s="14" t="s">
        <v>51</v>
      </c>
      <c r="V2" s="17" t="s">
        <v>0</v>
      </c>
      <c r="W2" s="18" t="s">
        <v>52</v>
      </c>
      <c r="X2" s="17" t="s">
        <v>53</v>
      </c>
    </row>
    <row r="3">
      <c r="A3" s="1" t="s">
        <v>49</v>
      </c>
      <c r="L3" s="5" t="str">
        <f t="shared" si="1"/>
        <v>Patrika Firozabad</v>
      </c>
      <c r="M3" s="5" t="s">
        <v>56</v>
      </c>
      <c r="N3" s="5" t="s">
        <v>57</v>
      </c>
      <c r="R3" s="14" t="str">
        <f>IFERROR(__xludf.DUMMYFUNCTION("""https://www.patrika.com/"" &amp; LOWER(REGEXREPLACE(M3, ""\s+"", ""-"")) &amp; ""-news"""),"https://www.patrika.com/firozabad-news")</f>
        <v>https://www.patrika.com/firozabad-news</v>
      </c>
      <c r="S3" s="14" t="s">
        <v>58</v>
      </c>
      <c r="V3" s="17" t="s">
        <v>49</v>
      </c>
      <c r="W3" s="18" t="s">
        <v>59</v>
      </c>
      <c r="X3" s="17" t="s">
        <v>53</v>
      </c>
    </row>
    <row r="4">
      <c r="A4" s="16" t="s">
        <v>62</v>
      </c>
      <c r="G4" s="17" t="s">
        <v>49</v>
      </c>
      <c r="H4" s="5" t="s">
        <v>50</v>
      </c>
      <c r="L4" s="5" t="str">
        <f t="shared" si="1"/>
        <v>Patrika Mainpuri</v>
      </c>
      <c r="M4" s="5" t="s">
        <v>63</v>
      </c>
      <c r="N4" s="5" t="s">
        <v>64</v>
      </c>
      <c r="R4" s="14" t="str">
        <f>IFERROR(__xludf.DUMMYFUNCTION("""https://www.patrika.com/"" &amp; LOWER(REGEXREPLACE(M4, ""\s+"", ""-"")) &amp; ""-news"""),"https://www.patrika.com/mainpuri-news")</f>
        <v>https://www.patrika.com/mainpuri-news</v>
      </c>
      <c r="S4" s="14" t="s">
        <v>65</v>
      </c>
      <c r="V4" s="17" t="s">
        <v>56</v>
      </c>
      <c r="W4" s="18" t="s">
        <v>67</v>
      </c>
      <c r="X4" s="17" t="s">
        <v>53</v>
      </c>
    </row>
    <row r="5">
      <c r="A5" s="1" t="s">
        <v>56</v>
      </c>
      <c r="L5" s="5" t="str">
        <f t="shared" si="1"/>
        <v>Patrika Mathura</v>
      </c>
      <c r="M5" s="5" t="s">
        <v>69</v>
      </c>
      <c r="N5" s="5" t="s">
        <v>70</v>
      </c>
      <c r="R5" s="14" t="str">
        <f>IFERROR(__xludf.DUMMYFUNCTION("""https://www.patrika.com/"" &amp; LOWER(REGEXREPLACE(M5, ""\s+"", ""-"")) &amp; ""-news"""),"https://www.patrika.com/mathura-news")</f>
        <v>https://www.patrika.com/mathura-news</v>
      </c>
      <c r="S5" s="14" t="s">
        <v>72</v>
      </c>
      <c r="V5" s="17" t="s">
        <v>63</v>
      </c>
      <c r="W5" s="18" t="s">
        <v>74</v>
      </c>
      <c r="X5" s="17" t="s">
        <v>53</v>
      </c>
    </row>
    <row r="6">
      <c r="A6" s="16" t="s">
        <v>77</v>
      </c>
      <c r="G6" s="17" t="s">
        <v>56</v>
      </c>
      <c r="H6" s="5" t="s">
        <v>57</v>
      </c>
      <c r="L6" s="5" t="str">
        <f t="shared" si="1"/>
        <v>Patrika Aligarh</v>
      </c>
      <c r="M6" s="5" t="s">
        <v>78</v>
      </c>
      <c r="N6" s="5" t="s">
        <v>79</v>
      </c>
      <c r="R6" s="14" t="str">
        <f>IFERROR(__xludf.DUMMYFUNCTION("""https://www.patrika.com/"" &amp; LOWER(REGEXREPLACE(M6, ""\s+"", ""-"")) &amp; ""-news"""),"https://www.patrika.com/aligarh-news")</f>
        <v>https://www.patrika.com/aligarh-news</v>
      </c>
      <c r="S6" s="14" t="s">
        <v>80</v>
      </c>
      <c r="V6" s="17" t="s">
        <v>69</v>
      </c>
      <c r="W6" s="18" t="s">
        <v>83</v>
      </c>
      <c r="X6" s="17" t="s">
        <v>53</v>
      </c>
    </row>
    <row r="7">
      <c r="A7" s="1" t="s">
        <v>63</v>
      </c>
      <c r="L7" s="5" t="str">
        <f t="shared" si="1"/>
        <v>Patrika Etah</v>
      </c>
      <c r="M7" s="5" t="s">
        <v>86</v>
      </c>
      <c r="N7" s="5" t="s">
        <v>87</v>
      </c>
      <c r="R7" s="14" t="str">
        <f>IFERROR(__xludf.DUMMYFUNCTION("""https://www.patrika.com/"" &amp; LOWER(REGEXREPLACE(M7, ""\s+"", ""-"")) &amp; ""-news"""),"https://www.patrika.com/etah-news")</f>
        <v>https://www.patrika.com/etah-news</v>
      </c>
      <c r="S7" s="14" t="s">
        <v>88</v>
      </c>
      <c r="V7" s="17" t="s">
        <v>78</v>
      </c>
      <c r="W7" s="18" t="s">
        <v>91</v>
      </c>
      <c r="X7" s="17" t="s">
        <v>53</v>
      </c>
    </row>
    <row r="8">
      <c r="A8" s="16" t="s">
        <v>93</v>
      </c>
      <c r="G8" s="17" t="s">
        <v>63</v>
      </c>
      <c r="H8" s="5" t="s">
        <v>64</v>
      </c>
      <c r="L8" s="5" t="str">
        <f t="shared" si="1"/>
        <v>Patrika Etawah</v>
      </c>
      <c r="M8" s="5" t="s">
        <v>95</v>
      </c>
      <c r="N8" s="5" t="s">
        <v>96</v>
      </c>
      <c r="R8" s="14" t="str">
        <f>IFERROR(__xludf.DUMMYFUNCTION("""https://www.patrika.com/"" &amp; LOWER(REGEXREPLACE(M8, ""\s+"", ""-"")) &amp; ""-news"""),"https://www.patrika.com/etawah-news")</f>
        <v>https://www.patrika.com/etawah-news</v>
      </c>
      <c r="S8" s="14" t="s">
        <v>97</v>
      </c>
      <c r="V8" s="17" t="s">
        <v>86</v>
      </c>
      <c r="W8" s="18" t="s">
        <v>98</v>
      </c>
      <c r="X8" s="17" t="s">
        <v>53</v>
      </c>
    </row>
    <row r="9">
      <c r="A9" s="1" t="s">
        <v>69</v>
      </c>
      <c r="L9" s="5" t="str">
        <f t="shared" si="1"/>
        <v>Patrika Hathras</v>
      </c>
      <c r="M9" s="5" t="s">
        <v>101</v>
      </c>
      <c r="N9" s="5" t="s">
        <v>102</v>
      </c>
      <c r="R9" s="14" t="str">
        <f>IFERROR(__xludf.DUMMYFUNCTION("""https://www.patrika.com/"" &amp; LOWER(REGEXREPLACE(M9, ""\s+"", ""-"")) &amp; ""-news"""),"https://www.patrika.com/hathras-news")</f>
        <v>https://www.patrika.com/hathras-news</v>
      </c>
      <c r="S9" s="14" t="s">
        <v>103</v>
      </c>
      <c r="V9" s="17" t="s">
        <v>95</v>
      </c>
      <c r="W9" s="18" t="s">
        <v>105</v>
      </c>
      <c r="X9" s="17" t="s">
        <v>53</v>
      </c>
    </row>
    <row r="10">
      <c r="A10" s="16" t="s">
        <v>107</v>
      </c>
      <c r="G10" s="17" t="s">
        <v>69</v>
      </c>
      <c r="H10" s="5" t="s">
        <v>70</v>
      </c>
      <c r="L10" s="5" t="str">
        <f t="shared" si="1"/>
        <v>Patrika Kasganj</v>
      </c>
      <c r="M10" s="5" t="s">
        <v>108</v>
      </c>
      <c r="N10" s="5" t="s">
        <v>109</v>
      </c>
      <c r="R10" s="14" t="str">
        <f>IFERROR(__xludf.DUMMYFUNCTION("""https://www.patrika.com/"" &amp; LOWER(REGEXREPLACE(M10, ""\s+"", ""-"")) &amp; ""-news"""),"https://www.patrika.com/kasganj-news")</f>
        <v>https://www.patrika.com/kasganj-news</v>
      </c>
      <c r="S10" s="14" t="s">
        <v>112</v>
      </c>
      <c r="V10" s="17" t="s">
        <v>101</v>
      </c>
      <c r="W10" s="18" t="s">
        <v>115</v>
      </c>
      <c r="X10" s="17" t="s">
        <v>53</v>
      </c>
    </row>
    <row r="11">
      <c r="A11" s="1" t="s">
        <v>78</v>
      </c>
      <c r="L11" s="5" t="str">
        <f t="shared" si="1"/>
        <v>Patrika Kaushambi</v>
      </c>
      <c r="M11" s="5" t="s">
        <v>117</v>
      </c>
      <c r="N11" s="5" t="s">
        <v>119</v>
      </c>
      <c r="R11" s="14" t="str">
        <f>IFERROR(__xludf.DUMMYFUNCTION("""https://www.patrika.com/"" &amp; LOWER(REGEXREPLACE(M11, ""\s+"", ""-"")) &amp; ""-news"""),"https://www.patrika.com/kaushambi-news")</f>
        <v>https://www.patrika.com/kaushambi-news</v>
      </c>
      <c r="S11" s="14" t="s">
        <v>120</v>
      </c>
      <c r="V11" s="17" t="s">
        <v>108</v>
      </c>
      <c r="W11" s="18" t="s">
        <v>121</v>
      </c>
      <c r="X11" s="17" t="s">
        <v>53</v>
      </c>
    </row>
    <row r="12">
      <c r="A12" s="16" t="s">
        <v>123</v>
      </c>
      <c r="G12" s="17" t="s">
        <v>78</v>
      </c>
      <c r="H12" s="5" t="s">
        <v>79</v>
      </c>
      <c r="L12" s="5" t="str">
        <f t="shared" si="1"/>
        <v>Patrika Prayagraj</v>
      </c>
      <c r="M12" s="5" t="s">
        <v>124</v>
      </c>
      <c r="N12" s="5" t="s">
        <v>125</v>
      </c>
      <c r="R12" s="14" t="str">
        <f>IFERROR(__xludf.DUMMYFUNCTION("""https://www.patrika.com/"" &amp; LOWER(REGEXREPLACE(M12, ""\s+"", ""-"")) &amp; ""-news"""),"https://www.patrika.com/prayagraj-news")</f>
        <v>https://www.patrika.com/prayagraj-news</v>
      </c>
      <c r="S12" s="14" t="s">
        <v>126</v>
      </c>
      <c r="V12" s="17" t="s">
        <v>117</v>
      </c>
      <c r="W12" s="18" t="s">
        <v>127</v>
      </c>
      <c r="X12" s="17" t="s">
        <v>53</v>
      </c>
    </row>
    <row r="13">
      <c r="A13" s="1" t="s">
        <v>86</v>
      </c>
      <c r="L13" s="5" t="str">
        <f t="shared" si="1"/>
        <v>Patrika Fatehpur</v>
      </c>
      <c r="M13" s="5" t="s">
        <v>130</v>
      </c>
      <c r="N13" s="5" t="s">
        <v>131</v>
      </c>
      <c r="R13" s="14" t="str">
        <f>IFERROR(__xludf.DUMMYFUNCTION("""https://www.patrika.com/"" &amp; LOWER(REGEXREPLACE(M13, ""\s+"", ""-"")) &amp; ""-news"""),"https://www.patrika.com/fatehpur-news")</f>
        <v>https://www.patrika.com/fatehpur-news</v>
      </c>
      <c r="S13" s="14" t="s">
        <v>132</v>
      </c>
      <c r="V13" s="17" t="s">
        <v>124</v>
      </c>
      <c r="W13" s="18" t="s">
        <v>133</v>
      </c>
      <c r="X13" s="17" t="s">
        <v>53</v>
      </c>
    </row>
    <row r="14">
      <c r="A14" s="16" t="s">
        <v>135</v>
      </c>
      <c r="G14" s="17" t="s">
        <v>86</v>
      </c>
      <c r="H14" s="5" t="s">
        <v>87</v>
      </c>
      <c r="L14" s="5" t="str">
        <f t="shared" si="1"/>
        <v>Patrika Pratapgarh</v>
      </c>
      <c r="M14" s="5" t="s">
        <v>136</v>
      </c>
      <c r="N14" s="5" t="s">
        <v>137</v>
      </c>
      <c r="R14" s="14" t="str">
        <f>IFERROR(__xludf.DUMMYFUNCTION("""https://www.patrika.com/"" &amp; LOWER(REGEXREPLACE(M14, ""\s+"", ""-"")) &amp; ""-news"""),"https://www.patrika.com/pratapgarh-news")</f>
        <v>https://www.patrika.com/pratapgarh-news</v>
      </c>
      <c r="S14" s="14" t="s">
        <v>138</v>
      </c>
      <c r="V14" s="17" t="s">
        <v>130</v>
      </c>
      <c r="W14" s="18" t="s">
        <v>141</v>
      </c>
      <c r="X14" s="17" t="s">
        <v>53</v>
      </c>
    </row>
    <row r="15">
      <c r="A15" s="1" t="s">
        <v>95</v>
      </c>
      <c r="L15" s="5" t="str">
        <f t="shared" si="1"/>
        <v>Patrika Azamgarh</v>
      </c>
      <c r="M15" s="5" t="s">
        <v>142</v>
      </c>
      <c r="N15" s="5" t="s">
        <v>143</v>
      </c>
      <c r="R15" s="14" t="str">
        <f>IFERROR(__xludf.DUMMYFUNCTION("""https://www.patrika.com/"" &amp; LOWER(REGEXREPLACE(M15, ""\s+"", ""-"")) &amp; ""-news"""),"https://www.patrika.com/azamgarh-news")</f>
        <v>https://www.patrika.com/azamgarh-news</v>
      </c>
      <c r="S15" s="14" t="s">
        <v>144</v>
      </c>
      <c r="V15" s="17" t="s">
        <v>136</v>
      </c>
      <c r="W15" s="18" t="s">
        <v>146</v>
      </c>
      <c r="X15" s="17" t="s">
        <v>53</v>
      </c>
    </row>
    <row r="16">
      <c r="A16" s="16" t="s">
        <v>147</v>
      </c>
      <c r="G16" s="17" t="s">
        <v>95</v>
      </c>
      <c r="H16" s="5" t="s">
        <v>96</v>
      </c>
      <c r="L16" s="5" t="str">
        <f t="shared" si="1"/>
        <v>Patrika Ballia</v>
      </c>
      <c r="M16" s="5" t="s">
        <v>148</v>
      </c>
      <c r="N16" s="5" t="s">
        <v>150</v>
      </c>
      <c r="R16" s="14" t="str">
        <f>IFERROR(__xludf.DUMMYFUNCTION("""https://www.patrika.com/"" &amp; LOWER(REGEXREPLACE(M16, ""\s+"", ""-"")) &amp; ""-news"""),"https://www.patrika.com/ballia-news")</f>
        <v>https://www.patrika.com/ballia-news</v>
      </c>
      <c r="S16" s="14" t="s">
        <v>152</v>
      </c>
      <c r="V16" s="17" t="s">
        <v>142</v>
      </c>
      <c r="W16" s="18" t="s">
        <v>153</v>
      </c>
      <c r="X16" s="17" t="s">
        <v>53</v>
      </c>
    </row>
    <row r="17">
      <c r="A17" s="1" t="s">
        <v>101</v>
      </c>
      <c r="L17" s="5" t="str">
        <f t="shared" si="1"/>
        <v>Patrika Mau</v>
      </c>
      <c r="M17" s="5" t="s">
        <v>155</v>
      </c>
      <c r="N17" s="5" t="s">
        <v>156</v>
      </c>
      <c r="R17" s="14" t="str">
        <f>IFERROR(__xludf.DUMMYFUNCTION("""https://www.patrika.com/"" &amp; LOWER(REGEXREPLACE(M17, ""\s+"", ""-"")) &amp; ""-news"""),"https://www.patrika.com/mau-news")</f>
        <v>https://www.patrika.com/mau-news</v>
      </c>
      <c r="S17" s="14" t="s">
        <v>158</v>
      </c>
      <c r="V17" s="17" t="s">
        <v>148</v>
      </c>
      <c r="W17" s="18" t="s">
        <v>160</v>
      </c>
      <c r="X17" s="17" t="s">
        <v>53</v>
      </c>
    </row>
    <row r="18">
      <c r="A18" s="16" t="s">
        <v>162</v>
      </c>
      <c r="G18" s="17" t="s">
        <v>101</v>
      </c>
      <c r="H18" s="5" t="s">
        <v>102</v>
      </c>
      <c r="L18" s="5" t="str">
        <f t="shared" si="1"/>
        <v>Patrika Bareilly</v>
      </c>
      <c r="M18" s="5" t="s">
        <v>164</v>
      </c>
      <c r="N18" s="5" t="s">
        <v>165</v>
      </c>
      <c r="R18" s="14" t="str">
        <f>IFERROR(__xludf.DUMMYFUNCTION("""https://www.patrika.com/"" &amp; LOWER(REGEXREPLACE(M18, ""\s+"", ""-"")) &amp; ""-news"""),"https://www.patrika.com/bareilly-news")</f>
        <v>https://www.patrika.com/bareilly-news</v>
      </c>
      <c r="S18" s="14" t="s">
        <v>166</v>
      </c>
      <c r="V18" s="17" t="s">
        <v>155</v>
      </c>
      <c r="W18" s="18" t="s">
        <v>169</v>
      </c>
      <c r="X18" s="17" t="s">
        <v>53</v>
      </c>
    </row>
    <row r="19">
      <c r="A19" s="1" t="s">
        <v>108</v>
      </c>
      <c r="L19" s="5" t="str">
        <f t="shared" si="1"/>
        <v>Patrika Budaun</v>
      </c>
      <c r="M19" s="5" t="s">
        <v>170</v>
      </c>
      <c r="N19" s="5" t="s">
        <v>171</v>
      </c>
      <c r="R19" s="14" t="str">
        <f>IFERROR(__xludf.DUMMYFUNCTION("""https://www.patrika.com/"" &amp; LOWER(REGEXREPLACE(M19, ""\s+"", ""-"")) &amp; ""-news"""),"https://www.patrika.com/budaun-news")</f>
        <v>https://www.patrika.com/budaun-news</v>
      </c>
      <c r="S19" s="14" t="s">
        <v>172</v>
      </c>
      <c r="V19" s="17" t="s">
        <v>164</v>
      </c>
      <c r="W19" s="18" t="s">
        <v>174</v>
      </c>
      <c r="X19" s="17" t="s">
        <v>53</v>
      </c>
    </row>
    <row r="20">
      <c r="A20" s="16" t="s">
        <v>176</v>
      </c>
      <c r="G20" s="17" t="s">
        <v>108</v>
      </c>
      <c r="H20" s="5" t="s">
        <v>109</v>
      </c>
      <c r="L20" s="5" t="str">
        <f t="shared" si="1"/>
        <v>Patrika Pilibhit</v>
      </c>
      <c r="M20" s="5" t="s">
        <v>178</v>
      </c>
      <c r="N20" s="5" t="s">
        <v>179</v>
      </c>
      <c r="R20" s="14" t="str">
        <f>IFERROR(__xludf.DUMMYFUNCTION("""https://www.patrika.com/"" &amp; LOWER(REGEXREPLACE(M20, ""\s+"", ""-"")) &amp; ""-news"""),"https://www.patrika.com/pilibhit-news")</f>
        <v>https://www.patrika.com/pilibhit-news</v>
      </c>
      <c r="S20" s="14" t="s">
        <v>180</v>
      </c>
      <c r="V20" s="17" t="s">
        <v>170</v>
      </c>
      <c r="W20" s="18" t="s">
        <v>182</v>
      </c>
      <c r="X20" s="17" t="s">
        <v>53</v>
      </c>
    </row>
    <row r="21">
      <c r="A21" s="1" t="s">
        <v>117</v>
      </c>
      <c r="G21" s="18" t="s">
        <v>109</v>
      </c>
      <c r="L21" s="5" t="str">
        <f t="shared" si="1"/>
        <v>Patrika Shahjahanpur</v>
      </c>
      <c r="M21" s="5" t="s">
        <v>184</v>
      </c>
      <c r="N21" s="5" t="s">
        <v>185</v>
      </c>
      <c r="R21" s="14" t="str">
        <f>IFERROR(__xludf.DUMMYFUNCTION("""https://www.patrika.com/"" &amp; LOWER(REGEXREPLACE(M21, ""\s+"", ""-"")) &amp; ""-news"""),"https://www.patrika.com/shahjahanpur-news")</f>
        <v>https://www.patrika.com/shahjahanpur-news</v>
      </c>
      <c r="S21" s="14" t="s">
        <v>187</v>
      </c>
      <c r="V21" s="17" t="s">
        <v>178</v>
      </c>
      <c r="W21" s="18" t="s">
        <v>189</v>
      </c>
      <c r="X21" s="17" t="s">
        <v>53</v>
      </c>
    </row>
    <row r="22">
      <c r="A22" s="16" t="s">
        <v>191</v>
      </c>
      <c r="G22" s="17" t="s">
        <v>117</v>
      </c>
      <c r="H22" s="5" t="s">
        <v>119</v>
      </c>
      <c r="L22" s="5" t="str">
        <f t="shared" si="1"/>
        <v>Patrika Basti</v>
      </c>
      <c r="M22" s="5" t="s">
        <v>193</v>
      </c>
      <c r="N22" s="5" t="s">
        <v>194</v>
      </c>
      <c r="R22" s="14" t="str">
        <f>IFERROR(__xludf.DUMMYFUNCTION("""https://www.patrika.com/"" &amp; LOWER(REGEXREPLACE(M22, ""\s+"", ""-"")) &amp; ""-news"""),"https://www.patrika.com/basti-news")</f>
        <v>https://www.patrika.com/basti-news</v>
      </c>
      <c r="S22" s="14" t="s">
        <v>195</v>
      </c>
      <c r="V22" s="17" t="s">
        <v>184</v>
      </c>
      <c r="W22" s="18" t="s">
        <v>198</v>
      </c>
      <c r="X22" s="17" t="s">
        <v>53</v>
      </c>
    </row>
    <row r="23">
      <c r="A23" s="1" t="s">
        <v>124</v>
      </c>
      <c r="G23" s="18" t="s">
        <v>119</v>
      </c>
      <c r="L23" s="5" t="str">
        <f t="shared" si="1"/>
        <v>Patrika Sant Kabir Nagar</v>
      </c>
      <c r="M23" s="5" t="s">
        <v>200</v>
      </c>
      <c r="N23" s="5" t="s">
        <v>201</v>
      </c>
      <c r="R23" s="14" t="str">
        <f>IFERROR(__xludf.DUMMYFUNCTION("""https://www.patrika.com/"" &amp; LOWER(REGEXREPLACE(M23, ""\s+"", ""-"")) &amp; ""-news"""),"https://www.patrika.com/sant-kabir-nagar-news")</f>
        <v>https://www.patrika.com/sant-kabir-nagar-news</v>
      </c>
      <c r="S23" s="14" t="s">
        <v>202</v>
      </c>
    </row>
    <row r="24">
      <c r="A24" s="16" t="s">
        <v>204</v>
      </c>
      <c r="G24" s="17" t="s">
        <v>124</v>
      </c>
      <c r="H24" s="5" t="s">
        <v>125</v>
      </c>
      <c r="L24" s="5" t="str">
        <f t="shared" si="1"/>
        <v>Patrika Sidharthnagar</v>
      </c>
      <c r="M24" s="5" t="s">
        <v>207</v>
      </c>
      <c r="N24" s="5" t="s">
        <v>208</v>
      </c>
      <c r="R24" s="14" t="str">
        <f>IFERROR(__xludf.DUMMYFUNCTION("""https://www.patrika.com/"" &amp; LOWER(REGEXREPLACE(M24, ""\s+"", ""-"")) &amp; ""-news"""),"https://www.patrika.com/sidharthnagar-news")</f>
        <v>https://www.patrika.com/sidharthnagar-news</v>
      </c>
      <c r="S24" s="14" t="s">
        <v>209</v>
      </c>
    </row>
    <row r="25">
      <c r="A25" s="1" t="s">
        <v>130</v>
      </c>
      <c r="G25" s="18" t="s">
        <v>125</v>
      </c>
      <c r="L25" s="5" t="str">
        <f t="shared" si="1"/>
        <v>Patrika Banda</v>
      </c>
      <c r="M25" s="5" t="s">
        <v>211</v>
      </c>
      <c r="N25" s="5" t="s">
        <v>213</v>
      </c>
      <c r="R25" s="14" t="str">
        <f>IFERROR(__xludf.DUMMYFUNCTION("""https://www.patrika.com/"" &amp; LOWER(REGEXREPLACE(M25, ""\s+"", ""-"")) &amp; ""-news"""),"https://www.patrika.com/banda-news")</f>
        <v>https://www.patrika.com/banda-news</v>
      </c>
      <c r="S25" s="14" t="s">
        <v>214</v>
      </c>
    </row>
    <row r="26">
      <c r="A26" s="16" t="s">
        <v>217</v>
      </c>
      <c r="G26" s="17" t="s">
        <v>130</v>
      </c>
      <c r="H26" s="5" t="s">
        <v>131</v>
      </c>
      <c r="L26" s="5" t="str">
        <f t="shared" si="1"/>
        <v>Patrika Chitrakoot</v>
      </c>
      <c r="M26" s="5" t="s">
        <v>218</v>
      </c>
      <c r="N26" s="5" t="s">
        <v>219</v>
      </c>
      <c r="R26" s="14" t="str">
        <f>IFERROR(__xludf.DUMMYFUNCTION("""https://www.patrika.com/"" &amp; LOWER(REGEXREPLACE(M26, ""\s+"", ""-"")) &amp; ""-news"""),"https://www.patrika.com/chitrakoot-news")</f>
        <v>https://www.patrika.com/chitrakoot-news</v>
      </c>
      <c r="S26" s="14" t="s">
        <v>220</v>
      </c>
    </row>
    <row r="27">
      <c r="A27" s="1" t="s">
        <v>136</v>
      </c>
      <c r="G27" s="18" t="s">
        <v>131</v>
      </c>
      <c r="L27" s="5" t="str">
        <f t="shared" si="1"/>
        <v>Patrika Hamirpur</v>
      </c>
      <c r="M27" s="5" t="s">
        <v>222</v>
      </c>
      <c r="N27" s="5" t="s">
        <v>223</v>
      </c>
      <c r="R27" s="14" t="str">
        <f>IFERROR(__xludf.DUMMYFUNCTION("""https://www.patrika.com/"" &amp; LOWER(REGEXREPLACE(M27, ""\s+"", ""-"")) &amp; ""-news"""),"https://www.patrika.com/hamirpur-news")</f>
        <v>https://www.patrika.com/hamirpur-news</v>
      </c>
      <c r="S27" s="14" t="s">
        <v>224</v>
      </c>
    </row>
    <row r="28">
      <c r="A28" s="16" t="s">
        <v>227</v>
      </c>
      <c r="G28" s="17" t="s">
        <v>136</v>
      </c>
      <c r="H28" s="5" t="s">
        <v>137</v>
      </c>
      <c r="L28" s="5" t="str">
        <f t="shared" si="1"/>
        <v>Patrika Mahoba</v>
      </c>
      <c r="M28" s="5" t="s">
        <v>228</v>
      </c>
      <c r="N28" s="5" t="s">
        <v>229</v>
      </c>
      <c r="R28" s="14" t="str">
        <f>IFERROR(__xludf.DUMMYFUNCTION("""https://www.patrika.com/"" &amp; LOWER(REGEXREPLACE(M28, ""\s+"", ""-"")) &amp; ""-news"""),"https://www.patrika.com/mahoba-news")</f>
        <v>https://www.patrika.com/mahoba-news</v>
      </c>
      <c r="S28" s="14" t="s">
        <v>230</v>
      </c>
    </row>
    <row r="29">
      <c r="A29" s="1" t="s">
        <v>142</v>
      </c>
      <c r="G29" s="18" t="s">
        <v>137</v>
      </c>
      <c r="L29" s="5" t="str">
        <f t="shared" si="1"/>
        <v>Patrika Bahraich</v>
      </c>
      <c r="M29" s="5" t="s">
        <v>233</v>
      </c>
      <c r="N29" s="5" t="s">
        <v>234</v>
      </c>
      <c r="R29" s="14" t="str">
        <f>IFERROR(__xludf.DUMMYFUNCTION("""https://www.patrika.com/"" &amp; LOWER(REGEXREPLACE(M29, ""\s+"", ""-"")) &amp; ""-news"""),"https://www.patrika.com/bahraich-news")</f>
        <v>https://www.patrika.com/bahraich-news</v>
      </c>
      <c r="S29" s="14" t="s">
        <v>235</v>
      </c>
    </row>
    <row r="30">
      <c r="A30" s="16" t="s">
        <v>239</v>
      </c>
      <c r="G30" s="17" t="s">
        <v>142</v>
      </c>
      <c r="H30" s="5" t="s">
        <v>143</v>
      </c>
      <c r="L30" s="5" t="str">
        <f t="shared" si="1"/>
        <v>Patrika Balrampur</v>
      </c>
      <c r="M30" s="5" t="s">
        <v>240</v>
      </c>
      <c r="N30" s="5" t="s">
        <v>242</v>
      </c>
      <c r="R30" s="14" t="str">
        <f>IFERROR(__xludf.DUMMYFUNCTION("""https://www.patrika.com/"" &amp; LOWER(REGEXREPLACE(M30, ""\s+"", ""-"")) &amp; ""-news"""),"https://www.patrika.com/balrampur-news")</f>
        <v>https://www.patrika.com/balrampur-news</v>
      </c>
      <c r="S30" s="14" t="s">
        <v>243</v>
      </c>
    </row>
    <row r="31">
      <c r="A31" s="1" t="s">
        <v>148</v>
      </c>
      <c r="G31" s="18" t="s">
        <v>143</v>
      </c>
      <c r="L31" s="5" t="str">
        <f t="shared" si="1"/>
        <v>Patrika Gonda</v>
      </c>
      <c r="M31" s="5" t="s">
        <v>238</v>
      </c>
      <c r="N31" s="5" t="s">
        <v>246</v>
      </c>
      <c r="R31" s="14" t="str">
        <f>IFERROR(__xludf.DUMMYFUNCTION("""https://www.patrika.com/"" &amp; LOWER(REGEXREPLACE(M31, ""\s+"", ""-"")) &amp; ""-news"""),"https://www.patrika.com/gonda-news")</f>
        <v>https://www.patrika.com/gonda-news</v>
      </c>
      <c r="S31" s="14" t="s">
        <v>247</v>
      </c>
    </row>
    <row r="32">
      <c r="A32" s="16" t="s">
        <v>250</v>
      </c>
      <c r="G32" s="17" t="s">
        <v>148</v>
      </c>
      <c r="H32" s="5" t="s">
        <v>150</v>
      </c>
      <c r="L32" s="5" t="str">
        <f t="shared" si="1"/>
        <v>Patrika Shravasti</v>
      </c>
      <c r="M32" s="5" t="s">
        <v>251</v>
      </c>
      <c r="N32" s="5" t="s">
        <v>252</v>
      </c>
      <c r="R32" s="14" t="str">
        <f>IFERROR(__xludf.DUMMYFUNCTION("""https://www.patrika.com/"" &amp; LOWER(REGEXREPLACE(M32, ""\s+"", ""-"")) &amp; ""-news"""),"https://www.patrika.com/shravasti-news")</f>
        <v>https://www.patrika.com/shravasti-news</v>
      </c>
      <c r="S32" s="14" t="s">
        <v>253</v>
      </c>
    </row>
    <row r="33">
      <c r="A33" s="1" t="s">
        <v>155</v>
      </c>
      <c r="G33" s="18" t="s">
        <v>150</v>
      </c>
      <c r="L33" s="5" t="str">
        <f t="shared" si="1"/>
        <v>Patrika Ambedkar Nagar</v>
      </c>
      <c r="M33" s="5" t="s">
        <v>104</v>
      </c>
      <c r="N33" s="5" t="s">
        <v>256</v>
      </c>
      <c r="R33" s="14" t="str">
        <f>IFERROR(__xludf.DUMMYFUNCTION("""https://www.patrika.com/"" &amp; LOWER(REGEXREPLACE(M33, ""\s+"", ""-"")) &amp; ""-news"""),"https://www.patrika.com/ambedkar-nagar-news")</f>
        <v>https://www.patrika.com/ambedkar-nagar-news</v>
      </c>
      <c r="S33" s="14" t="s">
        <v>257</v>
      </c>
    </row>
    <row r="34">
      <c r="A34" s="16" t="s">
        <v>260</v>
      </c>
      <c r="G34" s="17" t="s">
        <v>155</v>
      </c>
      <c r="H34" s="5" t="s">
        <v>156</v>
      </c>
      <c r="L34" s="5" t="str">
        <f t="shared" si="1"/>
        <v>Patrika Amethi</v>
      </c>
      <c r="M34" s="5" t="s">
        <v>92</v>
      </c>
      <c r="N34" s="5" t="s">
        <v>261</v>
      </c>
      <c r="R34" s="14" t="str">
        <f>IFERROR(__xludf.DUMMYFUNCTION("""https://www.patrika.com/"" &amp; LOWER(REGEXREPLACE(M34, ""\s+"", ""-"")) &amp; ""-news"""),"https://www.patrika.com/amethi-news")</f>
        <v>https://www.patrika.com/amethi-news</v>
      </c>
      <c r="S34" s="14" t="s">
        <v>262</v>
      </c>
    </row>
    <row r="35">
      <c r="A35" s="1" t="s">
        <v>164</v>
      </c>
      <c r="G35" s="18" t="s">
        <v>156</v>
      </c>
      <c r="L35" s="5" t="str">
        <f t="shared" si="1"/>
        <v>Patrika Ayodhya</v>
      </c>
      <c r="M35" s="5" t="s">
        <v>265</v>
      </c>
      <c r="N35" s="5" t="s">
        <v>266</v>
      </c>
      <c r="R35" s="14" t="str">
        <f>IFERROR(__xludf.DUMMYFUNCTION("""https://www.patrika.com/"" &amp; LOWER(REGEXREPLACE(M35, ""\s+"", ""-"")) &amp; ""-news"""),"https://www.patrika.com/ayodhya-news")</f>
        <v>https://www.patrika.com/ayodhya-news</v>
      </c>
      <c r="S35" s="14" t="s">
        <v>267</v>
      </c>
    </row>
    <row r="36">
      <c r="A36" s="16" t="s">
        <v>269</v>
      </c>
      <c r="G36" s="17" t="s">
        <v>164</v>
      </c>
      <c r="H36" s="5" t="s">
        <v>165</v>
      </c>
      <c r="L36" s="5" t="str">
        <f t="shared" si="1"/>
        <v>Patrika Barabanki</v>
      </c>
      <c r="M36" s="5" t="s">
        <v>270</v>
      </c>
      <c r="N36" s="5" t="s">
        <v>271</v>
      </c>
      <c r="R36" s="14" t="str">
        <f>IFERROR(__xludf.DUMMYFUNCTION("""https://www.patrika.com/"" &amp; LOWER(REGEXREPLACE(M36, ""\s+"", ""-"")) &amp; ""-news"""),"https://www.patrika.com/barabanki-news")</f>
        <v>https://www.patrika.com/barabanki-news</v>
      </c>
      <c r="S36" s="14" t="s">
        <v>272</v>
      </c>
    </row>
    <row r="37">
      <c r="A37" s="1" t="s">
        <v>170</v>
      </c>
      <c r="G37" s="18" t="s">
        <v>165</v>
      </c>
      <c r="L37" s="5" t="str">
        <f t="shared" si="1"/>
        <v>Patrika Faizabad</v>
      </c>
      <c r="M37" s="5" t="s">
        <v>113</v>
      </c>
      <c r="N37" s="5" t="s">
        <v>275</v>
      </c>
      <c r="R37" s="14" t="str">
        <f>IFERROR(__xludf.DUMMYFUNCTION("""https://www.patrika.com/"" &amp; LOWER(REGEXREPLACE(M37, ""\s+"", ""-"")) &amp; ""-news"""),"https://www.patrika.com/faizabad-news")</f>
        <v>https://www.patrika.com/faizabad-news</v>
      </c>
      <c r="S37" s="14" t="s">
        <v>276</v>
      </c>
    </row>
    <row r="38">
      <c r="A38" s="16" t="s">
        <v>277</v>
      </c>
      <c r="G38" s="17" t="s">
        <v>170</v>
      </c>
      <c r="H38" s="5" t="s">
        <v>171</v>
      </c>
      <c r="L38" s="5" t="str">
        <f t="shared" si="1"/>
        <v>Patrika Sultanpur</v>
      </c>
      <c r="M38" s="5" t="s">
        <v>279</v>
      </c>
      <c r="N38" s="5" t="s">
        <v>280</v>
      </c>
      <c r="R38" s="14" t="str">
        <f>IFERROR(__xludf.DUMMYFUNCTION("""https://www.patrika.com/"" &amp; LOWER(REGEXREPLACE(M38, ""\s+"", ""-"")) &amp; ""-news"""),"https://www.patrika.com/sultanpur-news")</f>
        <v>https://www.patrika.com/sultanpur-news</v>
      </c>
      <c r="S38" s="14" t="s">
        <v>281</v>
      </c>
    </row>
    <row r="39">
      <c r="A39" s="1" t="s">
        <v>178</v>
      </c>
      <c r="G39" s="18" t="s">
        <v>171</v>
      </c>
      <c r="L39" s="5" t="str">
        <f t="shared" si="1"/>
        <v>Patrika Deoria</v>
      </c>
      <c r="M39" s="5" t="s">
        <v>283</v>
      </c>
      <c r="N39" s="5" t="s">
        <v>284</v>
      </c>
      <c r="R39" s="14" t="str">
        <f>IFERROR(__xludf.DUMMYFUNCTION("""https://www.patrika.com/"" &amp; LOWER(REGEXREPLACE(M39, ""\s+"", ""-"")) &amp; ""-news"""),"https://www.patrika.com/deoria-news")</f>
        <v>https://www.patrika.com/deoria-news</v>
      </c>
      <c r="S39" s="14" t="s">
        <v>285</v>
      </c>
    </row>
    <row r="40">
      <c r="A40" s="16" t="s">
        <v>288</v>
      </c>
      <c r="G40" s="17" t="s">
        <v>178</v>
      </c>
      <c r="H40" s="5" t="s">
        <v>179</v>
      </c>
      <c r="L40" s="5" t="str">
        <f t="shared" si="1"/>
        <v>Patrika Gorakhpur</v>
      </c>
      <c r="M40" s="5" t="s">
        <v>66</v>
      </c>
      <c r="N40" s="5" t="s">
        <v>289</v>
      </c>
      <c r="R40" s="14" t="str">
        <f>IFERROR(__xludf.DUMMYFUNCTION("""https://www.patrika.com/"" &amp; LOWER(REGEXREPLACE(M40, ""\s+"", ""-"")) &amp; ""-news"""),"https://www.patrika.com/gorakhpur-news")</f>
        <v>https://www.patrika.com/gorakhpur-news</v>
      </c>
      <c r="S40" s="14" t="s">
        <v>290</v>
      </c>
    </row>
    <row r="41">
      <c r="A41" s="1" t="s">
        <v>184</v>
      </c>
      <c r="G41" s="18" t="s">
        <v>179</v>
      </c>
      <c r="L41" s="5" t="str">
        <f t="shared" si="1"/>
        <v>Patrika Kushinagar</v>
      </c>
      <c r="M41" s="5" t="s">
        <v>210</v>
      </c>
      <c r="N41" s="5" t="s">
        <v>292</v>
      </c>
      <c r="R41" s="14" t="str">
        <f>IFERROR(__xludf.DUMMYFUNCTION("""https://www.patrika.com/"" &amp; LOWER(REGEXREPLACE(M41, ""\s+"", ""-"")) &amp; ""-news"""),"https://www.patrika.com/kushinagar-news")</f>
        <v>https://www.patrika.com/kushinagar-news</v>
      </c>
      <c r="S41" s="14" t="s">
        <v>294</v>
      </c>
    </row>
    <row r="42">
      <c r="A42" s="16" t="s">
        <v>295</v>
      </c>
      <c r="G42" s="17" t="s">
        <v>184</v>
      </c>
      <c r="H42" s="5" t="s">
        <v>185</v>
      </c>
      <c r="L42" s="5" t="str">
        <f t="shared" si="1"/>
        <v>Patrika Mahrajganj</v>
      </c>
      <c r="M42" s="5" t="s">
        <v>296</v>
      </c>
      <c r="N42" s="5" t="s">
        <v>297</v>
      </c>
      <c r="R42" s="14" t="str">
        <f>IFERROR(__xludf.DUMMYFUNCTION("""https://www.patrika.com/"" &amp; LOWER(REGEXREPLACE(M42, ""\s+"", ""-"")) &amp; ""-news"""),"https://www.patrika.com/mahrajganj-news")</f>
        <v>https://www.patrika.com/mahrajganj-news</v>
      </c>
      <c r="S42" s="14" t="s">
        <v>300</v>
      </c>
    </row>
    <row r="43">
      <c r="A43" s="1" t="s">
        <v>193</v>
      </c>
      <c r="G43" s="18" t="s">
        <v>185</v>
      </c>
      <c r="L43" s="5" t="str">
        <f t="shared" si="1"/>
        <v>Patrika Jalaun</v>
      </c>
      <c r="M43" s="5" t="s">
        <v>278</v>
      </c>
      <c r="N43" s="5" t="s">
        <v>302</v>
      </c>
      <c r="R43" s="14" t="str">
        <f>IFERROR(__xludf.DUMMYFUNCTION("""https://www.patrika.com/"" &amp; LOWER(REGEXREPLACE(M43, ""\s+"", ""-"")) &amp; ""-news"""),"https://www.patrika.com/jalaun-news")</f>
        <v>https://www.patrika.com/jalaun-news</v>
      </c>
      <c r="S43" s="14" t="s">
        <v>303</v>
      </c>
    </row>
    <row r="44">
      <c r="A44" s="16" t="s">
        <v>305</v>
      </c>
      <c r="G44" s="17" t="s">
        <v>193</v>
      </c>
      <c r="H44" s="5" t="s">
        <v>194</v>
      </c>
      <c r="L44" s="5" t="str">
        <f t="shared" si="1"/>
        <v>Patrika Jhansi</v>
      </c>
      <c r="M44" s="5" t="s">
        <v>301</v>
      </c>
      <c r="N44" s="5" t="s">
        <v>308</v>
      </c>
      <c r="R44" s="14" t="str">
        <f>IFERROR(__xludf.DUMMYFUNCTION("""https://www.patrika.com/"" &amp; LOWER(REGEXREPLACE(M44, ""\s+"", ""-"")) &amp; ""-news"""),"https://www.patrika.com/jhansi-news")</f>
        <v>https://www.patrika.com/jhansi-news</v>
      </c>
      <c r="S44" s="14" t="s">
        <v>309</v>
      </c>
    </row>
    <row r="45">
      <c r="A45" s="1" t="s">
        <v>200</v>
      </c>
      <c r="G45" s="18" t="s">
        <v>194</v>
      </c>
      <c r="L45" s="5" t="str">
        <f t="shared" si="1"/>
        <v>Patrika Lalitpur</v>
      </c>
      <c r="M45" s="5" t="s">
        <v>311</v>
      </c>
      <c r="N45" s="5" t="s">
        <v>312</v>
      </c>
      <c r="R45" s="14" t="str">
        <f>IFERROR(__xludf.DUMMYFUNCTION("""https://www.patrika.com/"" &amp; LOWER(REGEXREPLACE(M45, ""\s+"", ""-"")) &amp; ""-news"""),"https://www.patrika.com/lalitpur-news")</f>
        <v>https://www.patrika.com/lalitpur-news</v>
      </c>
      <c r="S45" s="14" t="s">
        <v>313</v>
      </c>
    </row>
    <row r="46">
      <c r="A46" s="16" t="s">
        <v>316</v>
      </c>
      <c r="G46" s="17" t="s">
        <v>200</v>
      </c>
      <c r="H46" s="5" t="s">
        <v>201</v>
      </c>
      <c r="L46" s="5" t="str">
        <f t="shared" si="1"/>
        <v>Patrika Auraiya</v>
      </c>
      <c r="M46" s="5" t="s">
        <v>181</v>
      </c>
      <c r="N46" s="5" t="s">
        <v>318</v>
      </c>
      <c r="R46" s="14" t="str">
        <f>IFERROR(__xludf.DUMMYFUNCTION("""https://www.patrika.com/"" &amp; LOWER(REGEXREPLACE(M46, ""\s+"", ""-"")) &amp; ""-news"""),"https://www.patrika.com/auraiya-news")</f>
        <v>https://www.patrika.com/auraiya-news</v>
      </c>
      <c r="S46" s="14" t="s">
        <v>319</v>
      </c>
    </row>
    <row r="47">
      <c r="A47" s="1" t="s">
        <v>207</v>
      </c>
      <c r="G47" s="18" t="s">
        <v>201</v>
      </c>
      <c r="L47" s="5" t="str">
        <f t="shared" si="1"/>
        <v>Patrika Farrukhabad</v>
      </c>
      <c r="M47" s="5" t="s">
        <v>322</v>
      </c>
      <c r="N47" s="5" t="s">
        <v>323</v>
      </c>
      <c r="R47" s="14" t="str">
        <f>IFERROR(__xludf.DUMMYFUNCTION("""https://www.patrika.com/"" &amp; LOWER(REGEXREPLACE(M47, ""\s+"", ""-"")) &amp; ""-news"""),"https://www.patrika.com/farrukhabad-news")</f>
        <v>https://www.patrika.com/farrukhabad-news</v>
      </c>
      <c r="S47" s="14" t="s">
        <v>324</v>
      </c>
    </row>
    <row r="48">
      <c r="A48" s="16" t="s">
        <v>326</v>
      </c>
      <c r="G48" s="17" t="s">
        <v>207</v>
      </c>
      <c r="H48" s="5" t="s">
        <v>208</v>
      </c>
      <c r="L48" s="5" t="str">
        <f t="shared" si="1"/>
        <v>Patrika Kannauj</v>
      </c>
      <c r="M48" s="5" t="s">
        <v>190</v>
      </c>
      <c r="N48" s="5" t="s">
        <v>329</v>
      </c>
      <c r="R48" s="14" t="str">
        <f>IFERROR(__xludf.DUMMYFUNCTION("""https://www.patrika.com/"" &amp; LOWER(REGEXREPLACE(M48, ""\s+"", ""-"")) &amp; ""-news"""),"https://www.patrika.com/kannauj-news")</f>
        <v>https://www.patrika.com/kannauj-news</v>
      </c>
      <c r="S48" s="14" t="s">
        <v>330</v>
      </c>
    </row>
    <row r="49">
      <c r="A49" s="1" t="s">
        <v>211</v>
      </c>
      <c r="G49" s="18" t="s">
        <v>208</v>
      </c>
      <c r="L49" s="5" t="str">
        <f t="shared" si="1"/>
        <v>Patrika Kanpur</v>
      </c>
      <c r="M49" s="5" t="s">
        <v>199</v>
      </c>
      <c r="N49" s="5" t="s">
        <v>332</v>
      </c>
      <c r="R49" s="14" t="str">
        <f>IFERROR(__xludf.DUMMYFUNCTION("""https://www.patrika.com/"" &amp; LOWER(REGEXREPLACE(M49, ""\s+"", ""-"")) &amp; ""-news"""),"https://www.patrika.com/kanpur-news")</f>
        <v>https://www.patrika.com/kanpur-news</v>
      </c>
      <c r="S49" s="14" t="s">
        <v>334</v>
      </c>
    </row>
    <row r="50">
      <c r="A50" s="16" t="s">
        <v>335</v>
      </c>
      <c r="G50" s="17" t="s">
        <v>211</v>
      </c>
      <c r="H50" s="5" t="s">
        <v>213</v>
      </c>
      <c r="L50" s="5" t="str">
        <f t="shared" si="1"/>
        <v>Patrika Hardoi</v>
      </c>
      <c r="M50" s="5" t="s">
        <v>338</v>
      </c>
      <c r="N50" s="5" t="s">
        <v>339</v>
      </c>
      <c r="R50" s="14" t="str">
        <f>IFERROR(__xludf.DUMMYFUNCTION("""https://www.patrika.com/"" &amp; LOWER(REGEXREPLACE(M50, ""\s+"", ""-"")) &amp; ""-news"""),"https://www.patrika.com/hardoi-news")</f>
        <v>https://www.patrika.com/hardoi-news</v>
      </c>
      <c r="S50" s="14" t="s">
        <v>340</v>
      </c>
    </row>
    <row r="51">
      <c r="A51" s="1" t="s">
        <v>218</v>
      </c>
      <c r="G51" s="18" t="s">
        <v>213</v>
      </c>
      <c r="L51" s="5" t="str">
        <f t="shared" si="1"/>
        <v>Patrika Lakhimpur Kheri</v>
      </c>
      <c r="M51" s="5" t="s">
        <v>341</v>
      </c>
      <c r="N51" s="5" t="s">
        <v>342</v>
      </c>
      <c r="R51" s="14" t="str">
        <f>IFERROR(__xludf.DUMMYFUNCTION("""https://www.patrika.com/"" &amp; LOWER(REGEXREPLACE(M51, ""\s+"", ""-"")) &amp; ""-news"""),"https://www.patrika.com/lakhimpur-kheri-news")</f>
        <v>https://www.patrika.com/lakhimpur-kheri-news</v>
      </c>
      <c r="S51" s="14" t="s">
        <v>343</v>
      </c>
    </row>
    <row r="52">
      <c r="A52" s="16" t="s">
        <v>345</v>
      </c>
      <c r="G52" s="17" t="s">
        <v>218</v>
      </c>
      <c r="H52" s="5" t="s">
        <v>219</v>
      </c>
      <c r="L52" s="5" t="str">
        <f t="shared" si="1"/>
        <v>Patrika Lucknow</v>
      </c>
      <c r="M52" s="5" t="s">
        <v>75</v>
      </c>
      <c r="N52" s="5" t="s">
        <v>348</v>
      </c>
      <c r="R52" s="14" t="str">
        <f>IFERROR(__xludf.DUMMYFUNCTION("""https://www.patrika.com/"" &amp; LOWER(REGEXREPLACE(M52, ""\s+"", ""-"")) &amp; ""-news"""),"https://www.patrika.com/lucknow-news")</f>
        <v>https://www.patrika.com/lucknow-news</v>
      </c>
      <c r="S52" s="14" t="s">
        <v>349</v>
      </c>
    </row>
    <row r="53">
      <c r="A53" s="1" t="s">
        <v>222</v>
      </c>
      <c r="G53" s="18" t="s">
        <v>219</v>
      </c>
      <c r="L53" s="5" t="str">
        <f t="shared" si="1"/>
        <v>Patrika Raebareli</v>
      </c>
      <c r="M53" s="5" t="s">
        <v>351</v>
      </c>
      <c r="N53" s="5" t="s">
        <v>352</v>
      </c>
      <c r="R53" s="14" t="str">
        <f>IFERROR(__xludf.DUMMYFUNCTION("""https://www.patrika.com/"" &amp; LOWER(REGEXREPLACE(M53, ""\s+"", ""-"")) &amp; ""-news"""),"https://www.patrika.com/raebareli-news")</f>
        <v>https://www.patrika.com/raebareli-news</v>
      </c>
      <c r="S53" s="14" t="s">
        <v>353</v>
      </c>
    </row>
    <row r="54">
      <c r="A54" s="16" t="s">
        <v>356</v>
      </c>
      <c r="G54" s="17" t="s">
        <v>222</v>
      </c>
      <c r="H54" s="5" t="s">
        <v>223</v>
      </c>
      <c r="L54" s="5" t="str">
        <f t="shared" si="1"/>
        <v>Patrika Sitapur</v>
      </c>
      <c r="M54" s="5" t="s">
        <v>357</v>
      </c>
      <c r="N54" s="5" t="s">
        <v>358</v>
      </c>
      <c r="R54" s="14" t="str">
        <f>IFERROR(__xludf.DUMMYFUNCTION("""https://www.patrika.com/"" &amp; LOWER(REGEXREPLACE(M54, ""\s+"", ""-"")) &amp; ""-news"""),"https://www.patrika.com/sitapur-news")</f>
        <v>https://www.patrika.com/sitapur-news</v>
      </c>
      <c r="S54" s="14" t="s">
        <v>359</v>
      </c>
    </row>
    <row r="55">
      <c r="A55" s="1" t="s">
        <v>228</v>
      </c>
      <c r="G55" s="18" t="s">
        <v>223</v>
      </c>
      <c r="L55" s="5" t="str">
        <f t="shared" si="1"/>
        <v>Patrika Unnao</v>
      </c>
      <c r="M55" s="5" t="s">
        <v>161</v>
      </c>
      <c r="N55" s="5" t="s">
        <v>362</v>
      </c>
      <c r="R55" s="14" t="str">
        <f>IFERROR(__xludf.DUMMYFUNCTION("""https://www.patrika.com/"" &amp; LOWER(REGEXREPLACE(M55, ""\s+"", ""-"")) &amp; ""-news"""),"https://www.patrika.com/unnao-news")</f>
        <v>https://www.patrika.com/unnao-news</v>
      </c>
      <c r="S55" s="14" t="s">
        <v>364</v>
      </c>
    </row>
    <row r="56">
      <c r="A56" s="16" t="s">
        <v>365</v>
      </c>
      <c r="G56" s="17" t="s">
        <v>228</v>
      </c>
      <c r="H56" s="5" t="s">
        <v>229</v>
      </c>
      <c r="L56" s="5" t="str">
        <f t="shared" si="1"/>
        <v>Patrika Bagpat</v>
      </c>
      <c r="M56" s="5" t="s">
        <v>367</v>
      </c>
      <c r="N56" s="5" t="s">
        <v>368</v>
      </c>
      <c r="R56" s="14" t="str">
        <f>IFERROR(__xludf.DUMMYFUNCTION("""https://www.patrika.com/"" &amp; LOWER(REGEXREPLACE(M56, ""\s+"", ""-"")) &amp; ""-news"""),"https://www.patrika.com/bagpat-news")</f>
        <v>https://www.patrika.com/bagpat-news</v>
      </c>
      <c r="S56" s="14" t="s">
        <v>369</v>
      </c>
    </row>
    <row r="57">
      <c r="A57" s="1" t="s">
        <v>233</v>
      </c>
      <c r="G57" s="18" t="s">
        <v>229</v>
      </c>
      <c r="L57" s="5" t="str">
        <f t="shared" si="1"/>
        <v>Patrika Bulandshahr</v>
      </c>
      <c r="M57" s="5" t="s">
        <v>372</v>
      </c>
      <c r="N57" s="5" t="s">
        <v>373</v>
      </c>
      <c r="R57" s="14" t="str">
        <f>IFERROR(__xludf.DUMMYFUNCTION("""https://www.patrika.com/"" &amp; LOWER(REGEXREPLACE(M57, ""\s+"", ""-"")) &amp; ""-news"""),"https://www.patrika.com/bulandshahr-news")</f>
        <v>https://www.patrika.com/bulandshahr-news</v>
      </c>
      <c r="S57" s="14" t="s">
        <v>374</v>
      </c>
    </row>
    <row r="58">
      <c r="A58" s="16" t="s">
        <v>376</v>
      </c>
      <c r="G58" s="17" t="s">
        <v>233</v>
      </c>
      <c r="H58" s="5" t="s">
        <v>234</v>
      </c>
      <c r="L58" s="5" t="str">
        <f t="shared" si="1"/>
        <v>Patrika Greater Noida</v>
      </c>
      <c r="M58" s="5" t="s">
        <v>379</v>
      </c>
      <c r="N58" s="5" t="s">
        <v>380</v>
      </c>
      <c r="R58" s="14" t="str">
        <f>IFERROR(__xludf.DUMMYFUNCTION("""https://www.patrika.com/"" &amp; LOWER(REGEXREPLACE(M58, ""\s+"", ""-"")) &amp; ""-news"""),"https://www.patrika.com/greater-noida-news")</f>
        <v>https://www.patrika.com/greater-noida-news</v>
      </c>
      <c r="S58" s="14" t="s">
        <v>381</v>
      </c>
    </row>
    <row r="59">
      <c r="A59" s="1" t="s">
        <v>240</v>
      </c>
      <c r="G59" s="18" t="s">
        <v>234</v>
      </c>
      <c r="L59" s="5" t="str">
        <f t="shared" si="1"/>
        <v>Patrika Noida</v>
      </c>
      <c r="M59" s="5" t="s">
        <v>383</v>
      </c>
      <c r="N59" s="5" t="s">
        <v>384</v>
      </c>
      <c r="R59" s="14" t="str">
        <f>IFERROR(__xludf.DUMMYFUNCTION("""https://www.patrika.com/"" &amp; LOWER(REGEXREPLACE(M59, ""\s+"", ""-"")) &amp; ""-news"""),"https://www.patrika.com/noida-news")</f>
        <v>https://www.patrika.com/noida-news</v>
      </c>
      <c r="S59" s="14" t="s">
        <v>385</v>
      </c>
    </row>
    <row r="60">
      <c r="A60" s="16" t="s">
        <v>388</v>
      </c>
      <c r="G60" s="17" t="s">
        <v>240</v>
      </c>
      <c r="H60" s="5" t="s">
        <v>242</v>
      </c>
      <c r="L60" s="5" t="str">
        <f t="shared" si="1"/>
        <v>Patrika Ghaziabad</v>
      </c>
      <c r="M60" s="5" t="s">
        <v>390</v>
      </c>
      <c r="N60" s="5" t="s">
        <v>391</v>
      </c>
      <c r="R60" s="14" t="str">
        <f>IFERROR(__xludf.DUMMYFUNCTION("""https://www.patrika.com/"" &amp; LOWER(REGEXREPLACE(M60, ""\s+"", ""-"")) &amp; ""-news"""),"https://www.patrika.com/ghaziabad-news")</f>
        <v>https://www.patrika.com/ghaziabad-news</v>
      </c>
      <c r="S60" s="14" t="s">
        <v>392</v>
      </c>
    </row>
    <row r="61">
      <c r="A61" s="1" t="s">
        <v>238</v>
      </c>
      <c r="G61" s="18" t="s">
        <v>242</v>
      </c>
      <c r="L61" s="5" t="str">
        <f t="shared" si="1"/>
        <v>Patrika Ghazipur</v>
      </c>
      <c r="M61" s="5" t="s">
        <v>231</v>
      </c>
      <c r="N61" s="5" t="s">
        <v>395</v>
      </c>
      <c r="R61" s="14" t="str">
        <f>IFERROR(__xludf.DUMMYFUNCTION("""https://www.patrika.com/"" &amp; LOWER(REGEXREPLACE(M61, ""\s+"", ""-"")) &amp; ""-news"""),"https://www.patrika.com/ghazipur-news")</f>
        <v>https://www.patrika.com/ghazipur-news</v>
      </c>
      <c r="S61" s="14" t="s">
        <v>396</v>
      </c>
    </row>
    <row r="62">
      <c r="A62" s="16" t="s">
        <v>398</v>
      </c>
      <c r="G62" s="17" t="s">
        <v>238</v>
      </c>
      <c r="H62" s="5" t="s">
        <v>246</v>
      </c>
      <c r="L62" s="5" t="str">
        <f t="shared" si="1"/>
        <v>Patrika Hapur</v>
      </c>
      <c r="M62" s="5" t="s">
        <v>401</v>
      </c>
      <c r="N62" s="5" t="s">
        <v>402</v>
      </c>
      <c r="R62" s="14" t="str">
        <f>IFERROR(__xludf.DUMMYFUNCTION("""https://www.patrika.com/"" &amp; LOWER(REGEXREPLACE(M62, ""\s+"", ""-"")) &amp; ""-news"""),"https://www.patrika.com/hapur-news")</f>
        <v>https://www.patrika.com/hapur-news</v>
      </c>
      <c r="S62" s="14" t="s">
        <v>403</v>
      </c>
    </row>
    <row r="63">
      <c r="A63" s="1" t="s">
        <v>251</v>
      </c>
      <c r="G63" s="18" t="s">
        <v>246</v>
      </c>
      <c r="L63" s="5" t="str">
        <f t="shared" si="1"/>
        <v>Patrika Meerut</v>
      </c>
      <c r="M63" s="5" t="s">
        <v>405</v>
      </c>
      <c r="N63" s="5" t="s">
        <v>406</v>
      </c>
      <c r="R63" s="14" t="str">
        <f>IFERROR(__xludf.DUMMYFUNCTION("""https://www.patrika.com/"" &amp; LOWER(REGEXREPLACE(M63, ""\s+"", ""-"")) &amp; ""-news"""),"https://www.patrika.com/meerut-news")</f>
        <v>https://www.patrika.com/meerut-news</v>
      </c>
      <c r="S63" s="14" t="s">
        <v>407</v>
      </c>
    </row>
    <row r="64">
      <c r="A64" s="16" t="s">
        <v>408</v>
      </c>
      <c r="G64" s="17" t="s">
        <v>251</v>
      </c>
      <c r="H64" s="5" t="s">
        <v>252</v>
      </c>
      <c r="L64" s="5" t="str">
        <f t="shared" si="1"/>
        <v>Patrika Bhadohi</v>
      </c>
      <c r="M64" s="5" t="s">
        <v>411</v>
      </c>
      <c r="N64" s="5" t="s">
        <v>412</v>
      </c>
      <c r="R64" s="14" t="str">
        <f>IFERROR(__xludf.DUMMYFUNCTION("""https://www.patrika.com/"" &amp; LOWER(REGEXREPLACE(M64, ""\s+"", ""-"")) &amp; ""-news"""),"https://www.patrika.com/bhadohi-news")</f>
        <v>https://www.patrika.com/bhadohi-news</v>
      </c>
      <c r="S64" s="14" t="s">
        <v>413</v>
      </c>
    </row>
    <row r="65">
      <c r="A65" s="1" t="s">
        <v>104</v>
      </c>
      <c r="G65" s="18" t="s">
        <v>252</v>
      </c>
      <c r="L65" s="5" t="str">
        <f t="shared" si="1"/>
        <v>Patrika Mirzapur</v>
      </c>
      <c r="M65" s="5" t="s">
        <v>415</v>
      </c>
      <c r="N65" s="5" t="s">
        <v>416</v>
      </c>
      <c r="R65" s="14" t="str">
        <f>IFERROR(__xludf.DUMMYFUNCTION("""https://www.patrika.com/"" &amp; LOWER(REGEXREPLACE(M65, ""\s+"", ""-"")) &amp; ""-news"""),"https://www.patrika.com/mirzapur-news")</f>
        <v>https://www.patrika.com/mirzapur-news</v>
      </c>
      <c r="S65" s="14" t="s">
        <v>417</v>
      </c>
    </row>
    <row r="66">
      <c r="A66" s="16" t="s">
        <v>420</v>
      </c>
      <c r="G66" s="17" t="s">
        <v>104</v>
      </c>
      <c r="H66" s="5" t="s">
        <v>256</v>
      </c>
      <c r="L66" s="5" t="str">
        <f t="shared" si="1"/>
        <v>Patrika Sonbhadra</v>
      </c>
      <c r="M66" s="5" t="s">
        <v>422</v>
      </c>
      <c r="N66" s="5" t="s">
        <v>423</v>
      </c>
      <c r="R66" s="14" t="str">
        <f>IFERROR(__xludf.DUMMYFUNCTION("""https://www.patrika.com/"" &amp; LOWER(REGEXREPLACE(M66, ""\s+"", ""-"")) &amp; ""-news"""),"https://www.patrika.com/sonbhadra-news")</f>
        <v>https://www.patrika.com/sonbhadra-news</v>
      </c>
      <c r="S66" s="14" t="s">
        <v>424</v>
      </c>
    </row>
    <row r="67">
      <c r="A67" s="1" t="s">
        <v>92</v>
      </c>
      <c r="G67" s="18" t="s">
        <v>256</v>
      </c>
      <c r="L67" s="5" t="str">
        <f t="shared" si="1"/>
        <v>Patrika Amroha</v>
      </c>
      <c r="M67" s="5" t="s">
        <v>84</v>
      </c>
      <c r="N67" s="5" t="s">
        <v>426</v>
      </c>
      <c r="R67" s="14" t="str">
        <f>IFERROR(__xludf.DUMMYFUNCTION("""https://www.patrika.com/"" &amp; LOWER(REGEXREPLACE(M67, ""\s+"", ""-"")) &amp; ""-news"""),"https://www.patrika.com/amroha-news")</f>
        <v>https://www.patrika.com/amroha-news</v>
      </c>
      <c r="S67" s="14" t="s">
        <v>427</v>
      </c>
    </row>
    <row r="68">
      <c r="A68" s="16" t="s">
        <v>428</v>
      </c>
      <c r="G68" s="17" t="s">
        <v>92</v>
      </c>
      <c r="H68" s="5" t="s">
        <v>261</v>
      </c>
      <c r="L68" s="5" t="str">
        <f t="shared" si="1"/>
        <v>Patrika Bijnor</v>
      </c>
      <c r="M68" s="5" t="s">
        <v>429</v>
      </c>
      <c r="N68" s="5" t="s">
        <v>430</v>
      </c>
      <c r="R68" s="14" t="str">
        <f>IFERROR(__xludf.DUMMYFUNCTION("""https://www.patrika.com/"" &amp; LOWER(REGEXREPLACE(M68, ""\s+"", ""-"")) &amp; ""-news"""),"https://www.patrika.com/bijnor-news")</f>
        <v>https://www.patrika.com/bijnor-news</v>
      </c>
      <c r="S68" s="14" t="s">
        <v>431</v>
      </c>
    </row>
    <row r="69">
      <c r="A69" s="1" t="s">
        <v>265</v>
      </c>
      <c r="G69" s="18" t="s">
        <v>261</v>
      </c>
      <c r="L69" s="5" t="str">
        <f t="shared" si="1"/>
        <v>Patrika Moradabad</v>
      </c>
      <c r="M69" s="5" t="s">
        <v>434</v>
      </c>
      <c r="N69" s="5" t="s">
        <v>435</v>
      </c>
      <c r="R69" s="14" t="str">
        <f>IFERROR(__xludf.DUMMYFUNCTION("""https://www.patrika.com/"" &amp; LOWER(REGEXREPLACE(M69, ""\s+"", ""-"")) &amp; ""-news"""),"https://www.patrika.com/moradabad-news")</f>
        <v>https://www.patrika.com/moradabad-news</v>
      </c>
      <c r="S69" s="14" t="s">
        <v>436</v>
      </c>
    </row>
    <row r="70">
      <c r="A70" s="16" t="s">
        <v>438</v>
      </c>
      <c r="G70" s="17" t="s">
        <v>265</v>
      </c>
      <c r="H70" s="5" t="s">
        <v>266</v>
      </c>
      <c r="L70" s="5" t="str">
        <f t="shared" si="1"/>
        <v>Patrika Rampur</v>
      </c>
      <c r="M70" s="5" t="s">
        <v>441</v>
      </c>
      <c r="N70" s="5" t="s">
        <v>442</v>
      </c>
      <c r="R70" s="14" t="str">
        <f>IFERROR(__xludf.DUMMYFUNCTION("""https://www.patrika.com/"" &amp; LOWER(REGEXREPLACE(M70, ""\s+"", ""-"")) &amp; ""-news"""),"https://www.patrika.com/rampur-news")</f>
        <v>https://www.patrika.com/rampur-news</v>
      </c>
      <c r="S70" s="14" t="s">
        <v>443</v>
      </c>
    </row>
    <row r="71">
      <c r="A71" s="1" t="s">
        <v>270</v>
      </c>
      <c r="G71" s="18" t="s">
        <v>266</v>
      </c>
      <c r="L71" s="5" t="str">
        <f t="shared" si="1"/>
        <v>Patrika Sambhal</v>
      </c>
      <c r="M71" s="5" t="s">
        <v>445</v>
      </c>
      <c r="N71" s="5" t="s">
        <v>446</v>
      </c>
      <c r="R71" s="14" t="str">
        <f>IFERROR(__xludf.DUMMYFUNCTION("""https://www.patrika.com/"" &amp; LOWER(REGEXREPLACE(M71, ""\s+"", ""-"")) &amp; ""-news"""),"https://www.patrika.com/sambhal-news")</f>
        <v>https://www.patrika.com/sambhal-news</v>
      </c>
      <c r="S71" s="14" t="s">
        <v>447</v>
      </c>
    </row>
    <row r="72">
      <c r="A72" s="16" t="s">
        <v>450</v>
      </c>
      <c r="G72" s="17" t="s">
        <v>270</v>
      </c>
      <c r="H72" s="5" t="s">
        <v>271</v>
      </c>
      <c r="L72" s="5" t="str">
        <f t="shared" si="1"/>
        <v>Patrika Muzaffarnagar</v>
      </c>
      <c r="M72" s="5" t="s">
        <v>451</v>
      </c>
      <c r="N72" s="5" t="s">
        <v>453</v>
      </c>
      <c r="R72" s="14" t="str">
        <f>IFERROR(__xludf.DUMMYFUNCTION("""https://www.patrika.com/"" &amp; LOWER(REGEXREPLACE(M72, ""\s+"", ""-"")) &amp; ""-news"""),"https://www.patrika.com/muzaffarnagar-news")</f>
        <v>https://www.patrika.com/muzaffarnagar-news</v>
      </c>
      <c r="S72" s="14" t="s">
        <v>454</v>
      </c>
    </row>
    <row r="73">
      <c r="A73" s="1" t="s">
        <v>113</v>
      </c>
      <c r="G73" s="18" t="s">
        <v>271</v>
      </c>
      <c r="L73" s="5" t="str">
        <f t="shared" si="1"/>
        <v>Patrika Saharanpur</v>
      </c>
      <c r="M73" s="5" t="s">
        <v>457</v>
      </c>
      <c r="N73" s="5" t="s">
        <v>458</v>
      </c>
      <c r="R73" s="14" t="str">
        <f>IFERROR(__xludf.DUMMYFUNCTION("""https://www.patrika.com/"" &amp; LOWER(REGEXREPLACE(M73, ""\s+"", ""-"")) &amp; ""-news"""),"https://www.patrika.com/saharanpur-news")</f>
        <v>https://www.patrika.com/saharanpur-news</v>
      </c>
      <c r="S73" s="14" t="s">
        <v>459</v>
      </c>
    </row>
    <row r="74">
      <c r="A74" s="16" t="s">
        <v>461</v>
      </c>
      <c r="G74" s="17" t="s">
        <v>113</v>
      </c>
      <c r="H74" s="5" t="s">
        <v>275</v>
      </c>
      <c r="L74" s="5" t="str">
        <f t="shared" si="1"/>
        <v>Patrika Shamli</v>
      </c>
      <c r="M74" s="5" t="s">
        <v>464</v>
      </c>
      <c r="N74" s="5" t="s">
        <v>465</v>
      </c>
      <c r="R74" s="14" t="str">
        <f>IFERROR(__xludf.DUMMYFUNCTION("""https://www.patrika.com/"" &amp; LOWER(REGEXREPLACE(M74, ""\s+"", ""-"")) &amp; ""-news"""),"https://www.patrika.com/shamli-news")</f>
        <v>https://www.patrika.com/shamli-news</v>
      </c>
      <c r="S74" s="14" t="s">
        <v>466</v>
      </c>
    </row>
    <row r="75">
      <c r="A75" s="1" t="s">
        <v>279</v>
      </c>
      <c r="G75" s="18" t="s">
        <v>275</v>
      </c>
      <c r="L75" s="5" t="str">
        <f t="shared" si="1"/>
        <v>Patrika Chandauli</v>
      </c>
      <c r="M75" s="5" t="s">
        <v>258</v>
      </c>
      <c r="N75" s="5" t="s">
        <v>468</v>
      </c>
      <c r="R75" s="14" t="str">
        <f>IFERROR(__xludf.DUMMYFUNCTION("""https://www.patrika.com/"" &amp; LOWER(REGEXREPLACE(M75, ""\s+"", ""-"")) &amp; ""-news"""),"https://www.patrika.com/chandauli-news")</f>
        <v>https://www.patrika.com/chandauli-news</v>
      </c>
      <c r="S75" s="14" t="s">
        <v>469</v>
      </c>
    </row>
    <row r="76">
      <c r="A76" s="16" t="s">
        <v>472</v>
      </c>
      <c r="G76" s="17" t="s">
        <v>279</v>
      </c>
      <c r="H76" s="5" t="s">
        <v>280</v>
      </c>
      <c r="L76" s="5" t="str">
        <f t="shared" si="1"/>
        <v>Patrika Jaunpur</v>
      </c>
      <c r="M76" s="5" t="s">
        <v>291</v>
      </c>
      <c r="N76" s="5" t="s">
        <v>474</v>
      </c>
      <c r="R76" s="14" t="str">
        <f>IFERROR(__xludf.DUMMYFUNCTION("""https://www.patrika.com/"" &amp; LOWER(REGEXREPLACE(M76, ""\s+"", ""-"")) &amp; ""-news"""),"https://www.patrika.com/jaunpur-news")</f>
        <v>https://www.patrika.com/jaunpur-news</v>
      </c>
      <c r="S76" s="14" t="s">
        <v>475</v>
      </c>
    </row>
    <row r="77">
      <c r="A77" s="1" t="s">
        <v>283</v>
      </c>
      <c r="G77" s="18" t="s">
        <v>280</v>
      </c>
      <c r="L77" s="5" t="str">
        <f t="shared" si="1"/>
        <v>Patrika Varanasi</v>
      </c>
      <c r="M77" s="5" t="s">
        <v>478</v>
      </c>
      <c r="N77" s="5" t="s">
        <v>479</v>
      </c>
      <c r="R77" s="14" t="str">
        <f>IFERROR(__xludf.DUMMYFUNCTION("""https://www.patrika.com/"" &amp; LOWER(REGEXREPLACE(M77, ""\s+"", ""-"")) &amp; ""-news"""),"https://www.patrika.com/varanasi-news")</f>
        <v>https://www.patrika.com/varanasi-news</v>
      </c>
      <c r="S77" s="14" t="s">
        <v>481</v>
      </c>
    </row>
    <row r="78">
      <c r="A78" s="16" t="s">
        <v>483</v>
      </c>
      <c r="G78" s="17" t="s">
        <v>283</v>
      </c>
      <c r="H78" s="5" t="s">
        <v>284</v>
      </c>
    </row>
    <row r="79">
      <c r="A79" s="1" t="s">
        <v>66</v>
      </c>
      <c r="G79" s="18" t="s">
        <v>284</v>
      </c>
    </row>
    <row r="80">
      <c r="A80" s="16" t="s">
        <v>486</v>
      </c>
      <c r="G80" s="17" t="s">
        <v>66</v>
      </c>
      <c r="H80" s="5" t="s">
        <v>289</v>
      </c>
    </row>
    <row r="81">
      <c r="A81" s="1" t="s">
        <v>210</v>
      </c>
      <c r="G81" s="18" t="s">
        <v>289</v>
      </c>
    </row>
    <row r="82">
      <c r="A82" s="16" t="s">
        <v>488</v>
      </c>
      <c r="G82" s="17" t="s">
        <v>210</v>
      </c>
      <c r="H82" s="5" t="s">
        <v>292</v>
      </c>
    </row>
    <row r="83">
      <c r="A83" s="1" t="s">
        <v>296</v>
      </c>
      <c r="G83" s="18" t="s">
        <v>292</v>
      </c>
    </row>
    <row r="84">
      <c r="A84" s="16" t="s">
        <v>491</v>
      </c>
      <c r="G84" s="17" t="s">
        <v>296</v>
      </c>
      <c r="H84" s="5" t="s">
        <v>297</v>
      </c>
    </row>
    <row r="85">
      <c r="A85" s="1" t="s">
        <v>278</v>
      </c>
      <c r="G85" s="18" t="s">
        <v>297</v>
      </c>
    </row>
    <row r="86">
      <c r="A86" s="16" t="s">
        <v>493</v>
      </c>
      <c r="G86" s="17" t="s">
        <v>278</v>
      </c>
      <c r="H86" s="5" t="s">
        <v>302</v>
      </c>
    </row>
    <row r="87">
      <c r="A87" s="1" t="s">
        <v>301</v>
      </c>
      <c r="G87" s="18" t="s">
        <v>302</v>
      </c>
    </row>
    <row r="88">
      <c r="A88" s="16" t="s">
        <v>496</v>
      </c>
      <c r="G88" s="17" t="s">
        <v>301</v>
      </c>
      <c r="H88" s="5" t="s">
        <v>308</v>
      </c>
    </row>
    <row r="89">
      <c r="A89" s="1" t="s">
        <v>311</v>
      </c>
      <c r="G89" s="18" t="s">
        <v>308</v>
      </c>
    </row>
    <row r="90">
      <c r="A90" s="16" t="s">
        <v>498</v>
      </c>
      <c r="G90" s="17" t="s">
        <v>311</v>
      </c>
      <c r="H90" s="5" t="s">
        <v>312</v>
      </c>
    </row>
    <row r="91">
      <c r="A91" s="1" t="s">
        <v>181</v>
      </c>
      <c r="G91" s="18" t="s">
        <v>312</v>
      </c>
    </row>
    <row r="92">
      <c r="A92" s="16" t="s">
        <v>501</v>
      </c>
      <c r="G92" s="17" t="s">
        <v>181</v>
      </c>
      <c r="H92" s="5" t="s">
        <v>318</v>
      </c>
    </row>
    <row r="93">
      <c r="A93" s="1" t="s">
        <v>322</v>
      </c>
      <c r="G93" s="18" t="s">
        <v>318</v>
      </c>
    </row>
    <row r="94">
      <c r="A94" s="16" t="s">
        <v>503</v>
      </c>
      <c r="G94" s="17" t="s">
        <v>322</v>
      </c>
      <c r="H94" s="5" t="s">
        <v>323</v>
      </c>
    </row>
    <row r="95">
      <c r="A95" s="1" t="s">
        <v>190</v>
      </c>
      <c r="G95" s="18" t="s">
        <v>323</v>
      </c>
    </row>
    <row r="96">
      <c r="A96" s="16" t="s">
        <v>506</v>
      </c>
      <c r="G96" s="17" t="s">
        <v>190</v>
      </c>
      <c r="H96" s="5" t="s">
        <v>329</v>
      </c>
    </row>
    <row r="97">
      <c r="A97" s="1" t="s">
        <v>199</v>
      </c>
      <c r="G97" s="18" t="s">
        <v>329</v>
      </c>
    </row>
    <row r="98">
      <c r="A98" s="16" t="s">
        <v>508</v>
      </c>
      <c r="G98" s="17" t="s">
        <v>199</v>
      </c>
      <c r="H98" s="5" t="s">
        <v>332</v>
      </c>
    </row>
    <row r="99">
      <c r="A99" s="1" t="s">
        <v>338</v>
      </c>
      <c r="G99" s="18" t="s">
        <v>332</v>
      </c>
    </row>
    <row r="100">
      <c r="A100" s="16" t="s">
        <v>511</v>
      </c>
      <c r="G100" s="17" t="s">
        <v>338</v>
      </c>
      <c r="H100" s="5" t="s">
        <v>339</v>
      </c>
    </row>
    <row r="101">
      <c r="A101" s="1" t="s">
        <v>341</v>
      </c>
      <c r="G101" s="18" t="s">
        <v>339</v>
      </c>
    </row>
    <row r="102">
      <c r="A102" s="16" t="s">
        <v>515</v>
      </c>
      <c r="G102" s="17" t="s">
        <v>341</v>
      </c>
      <c r="H102" s="5" t="s">
        <v>342</v>
      </c>
    </row>
    <row r="103">
      <c r="A103" s="1" t="s">
        <v>75</v>
      </c>
      <c r="G103" s="18" t="s">
        <v>342</v>
      </c>
    </row>
    <row r="104">
      <c r="A104" s="16" t="s">
        <v>516</v>
      </c>
      <c r="G104" s="17" t="s">
        <v>75</v>
      </c>
      <c r="H104" s="5" t="s">
        <v>348</v>
      </c>
    </row>
    <row r="105">
      <c r="A105" s="1" t="s">
        <v>351</v>
      </c>
      <c r="G105" s="18" t="s">
        <v>348</v>
      </c>
    </row>
    <row r="106">
      <c r="A106" s="16" t="s">
        <v>520</v>
      </c>
      <c r="G106" s="17" t="s">
        <v>351</v>
      </c>
      <c r="H106" s="5" t="s">
        <v>352</v>
      </c>
    </row>
    <row r="107">
      <c r="A107" s="1" t="s">
        <v>357</v>
      </c>
      <c r="G107" s="18" t="s">
        <v>352</v>
      </c>
    </row>
    <row r="108">
      <c r="A108" s="16" t="s">
        <v>522</v>
      </c>
      <c r="G108" s="17" t="s">
        <v>357</v>
      </c>
      <c r="H108" s="5" t="s">
        <v>358</v>
      </c>
    </row>
    <row r="109">
      <c r="A109" s="1" t="s">
        <v>161</v>
      </c>
      <c r="G109" s="18" t="s">
        <v>358</v>
      </c>
    </row>
    <row r="110">
      <c r="A110" s="16" t="s">
        <v>525</v>
      </c>
      <c r="G110" s="17" t="s">
        <v>161</v>
      </c>
      <c r="H110" s="5" t="s">
        <v>362</v>
      </c>
    </row>
    <row r="111">
      <c r="A111" s="1" t="s">
        <v>367</v>
      </c>
      <c r="G111" s="18" t="s">
        <v>362</v>
      </c>
    </row>
    <row r="112">
      <c r="A112" s="16" t="s">
        <v>526</v>
      </c>
      <c r="G112" s="17" t="s">
        <v>367</v>
      </c>
      <c r="H112" s="5" t="s">
        <v>368</v>
      </c>
    </row>
    <row r="113">
      <c r="A113" s="1" t="s">
        <v>372</v>
      </c>
      <c r="G113" s="18" t="s">
        <v>368</v>
      </c>
    </row>
    <row r="114">
      <c r="A114" s="16" t="s">
        <v>528</v>
      </c>
      <c r="G114" s="17" t="s">
        <v>372</v>
      </c>
      <c r="H114" s="5" t="s">
        <v>373</v>
      </c>
    </row>
    <row r="115">
      <c r="A115" s="1" t="s">
        <v>379</v>
      </c>
      <c r="G115" s="18" t="s">
        <v>373</v>
      </c>
    </row>
    <row r="116">
      <c r="A116" s="16" t="s">
        <v>531</v>
      </c>
      <c r="G116" s="17" t="s">
        <v>379</v>
      </c>
      <c r="H116" s="5" t="s">
        <v>380</v>
      </c>
    </row>
    <row r="117">
      <c r="A117" s="1" t="s">
        <v>383</v>
      </c>
      <c r="G117" s="18" t="s">
        <v>380</v>
      </c>
    </row>
    <row r="118">
      <c r="A118" s="16" t="s">
        <v>532</v>
      </c>
      <c r="G118" s="17" t="s">
        <v>383</v>
      </c>
      <c r="H118" s="5" t="s">
        <v>384</v>
      </c>
    </row>
    <row r="119">
      <c r="A119" s="1" t="s">
        <v>390</v>
      </c>
      <c r="G119" s="18" t="s">
        <v>384</v>
      </c>
    </row>
    <row r="120">
      <c r="A120" s="16" t="s">
        <v>536</v>
      </c>
      <c r="G120" s="17" t="s">
        <v>390</v>
      </c>
      <c r="H120" s="5" t="s">
        <v>391</v>
      </c>
    </row>
    <row r="121">
      <c r="A121" s="1" t="s">
        <v>231</v>
      </c>
      <c r="G121" s="18" t="s">
        <v>391</v>
      </c>
    </row>
    <row r="122">
      <c r="A122" s="16" t="s">
        <v>538</v>
      </c>
      <c r="G122" s="17" t="s">
        <v>231</v>
      </c>
      <c r="H122" s="5" t="s">
        <v>395</v>
      </c>
    </row>
    <row r="123">
      <c r="A123" s="1" t="s">
        <v>401</v>
      </c>
      <c r="G123" s="18" t="s">
        <v>395</v>
      </c>
    </row>
    <row r="124">
      <c r="A124" s="16" t="s">
        <v>542</v>
      </c>
      <c r="G124" s="17" t="s">
        <v>401</v>
      </c>
      <c r="H124" s="5" t="s">
        <v>402</v>
      </c>
    </row>
    <row r="125">
      <c r="A125" s="1" t="s">
        <v>405</v>
      </c>
      <c r="G125" s="18" t="s">
        <v>402</v>
      </c>
    </row>
    <row r="126">
      <c r="A126" s="16" t="s">
        <v>545</v>
      </c>
      <c r="G126" s="17" t="s">
        <v>405</v>
      </c>
      <c r="H126" s="5" t="s">
        <v>406</v>
      </c>
    </row>
    <row r="127">
      <c r="A127" s="1" t="s">
        <v>411</v>
      </c>
      <c r="G127" s="18" t="s">
        <v>406</v>
      </c>
    </row>
    <row r="128">
      <c r="A128" s="16" t="s">
        <v>547</v>
      </c>
      <c r="G128" s="17" t="s">
        <v>411</v>
      </c>
      <c r="H128" s="5" t="s">
        <v>412</v>
      </c>
    </row>
    <row r="129">
      <c r="A129" s="1" t="s">
        <v>415</v>
      </c>
      <c r="G129" s="18" t="s">
        <v>412</v>
      </c>
    </row>
    <row r="130">
      <c r="A130" s="16" t="s">
        <v>550</v>
      </c>
      <c r="G130" s="17" t="s">
        <v>415</v>
      </c>
      <c r="H130" s="5" t="s">
        <v>416</v>
      </c>
    </row>
    <row r="131">
      <c r="A131" s="1" t="s">
        <v>422</v>
      </c>
      <c r="G131" s="18" t="s">
        <v>416</v>
      </c>
    </row>
    <row r="132">
      <c r="A132" s="16" t="s">
        <v>554</v>
      </c>
      <c r="G132" s="17" t="s">
        <v>422</v>
      </c>
      <c r="H132" s="5" t="s">
        <v>423</v>
      </c>
    </row>
    <row r="133">
      <c r="A133" s="1" t="s">
        <v>84</v>
      </c>
      <c r="G133" s="18" t="s">
        <v>423</v>
      </c>
    </row>
    <row r="134">
      <c r="A134" s="16" t="s">
        <v>556</v>
      </c>
      <c r="G134" s="17" t="s">
        <v>84</v>
      </c>
      <c r="H134" s="5" t="s">
        <v>426</v>
      </c>
    </row>
    <row r="135">
      <c r="A135" s="1" t="s">
        <v>429</v>
      </c>
      <c r="G135" s="18" t="s">
        <v>426</v>
      </c>
    </row>
    <row r="136">
      <c r="A136" s="16" t="s">
        <v>559</v>
      </c>
      <c r="G136" s="17" t="s">
        <v>429</v>
      </c>
      <c r="H136" s="5" t="s">
        <v>430</v>
      </c>
    </row>
    <row r="137">
      <c r="A137" s="1" t="s">
        <v>434</v>
      </c>
      <c r="G137" s="18" t="s">
        <v>430</v>
      </c>
    </row>
    <row r="138">
      <c r="A138" s="16" t="s">
        <v>563</v>
      </c>
      <c r="G138" s="17" t="s">
        <v>434</v>
      </c>
      <c r="H138" s="5" t="s">
        <v>435</v>
      </c>
    </row>
    <row r="139">
      <c r="A139" s="1" t="s">
        <v>441</v>
      </c>
      <c r="G139" s="18" t="s">
        <v>435</v>
      </c>
    </row>
    <row r="140">
      <c r="A140" s="16" t="s">
        <v>567</v>
      </c>
      <c r="G140" s="17" t="s">
        <v>441</v>
      </c>
      <c r="H140" s="5" t="s">
        <v>442</v>
      </c>
    </row>
    <row r="141">
      <c r="A141" s="1" t="s">
        <v>445</v>
      </c>
      <c r="G141" s="18" t="s">
        <v>442</v>
      </c>
    </row>
    <row r="142">
      <c r="A142" s="16" t="s">
        <v>570</v>
      </c>
      <c r="G142" s="17" t="s">
        <v>445</v>
      </c>
      <c r="H142" s="5" t="s">
        <v>446</v>
      </c>
    </row>
    <row r="143">
      <c r="A143" s="1" t="s">
        <v>451</v>
      </c>
      <c r="G143" s="18" t="s">
        <v>446</v>
      </c>
    </row>
    <row r="144">
      <c r="A144" s="16" t="s">
        <v>573</v>
      </c>
      <c r="G144" s="17" t="s">
        <v>451</v>
      </c>
      <c r="H144" s="5" t="s">
        <v>453</v>
      </c>
    </row>
    <row r="145">
      <c r="A145" s="1" t="s">
        <v>457</v>
      </c>
      <c r="G145" s="18" t="s">
        <v>453</v>
      </c>
    </row>
    <row r="146">
      <c r="A146" s="16" t="s">
        <v>577</v>
      </c>
      <c r="G146" s="17" t="s">
        <v>457</v>
      </c>
      <c r="H146" s="5" t="s">
        <v>458</v>
      </c>
    </row>
    <row r="147">
      <c r="A147" s="1" t="s">
        <v>464</v>
      </c>
      <c r="G147" s="18" t="s">
        <v>458</v>
      </c>
    </row>
    <row r="148">
      <c r="A148" s="16" t="s">
        <v>581</v>
      </c>
      <c r="G148" s="17" t="s">
        <v>464</v>
      </c>
      <c r="H148" s="5" t="s">
        <v>465</v>
      </c>
    </row>
    <row r="149">
      <c r="A149" s="1" t="s">
        <v>258</v>
      </c>
      <c r="G149" s="18" t="s">
        <v>465</v>
      </c>
    </row>
    <row r="150">
      <c r="A150" s="16" t="s">
        <v>584</v>
      </c>
      <c r="G150" s="17" t="s">
        <v>258</v>
      </c>
      <c r="H150" s="5" t="s">
        <v>468</v>
      </c>
    </row>
    <row r="151">
      <c r="A151" s="1" t="s">
        <v>291</v>
      </c>
      <c r="G151" s="18" t="s">
        <v>468</v>
      </c>
    </row>
    <row r="152">
      <c r="A152" s="16" t="s">
        <v>587</v>
      </c>
      <c r="G152" s="17" t="s">
        <v>291</v>
      </c>
      <c r="H152" s="5" t="s">
        <v>474</v>
      </c>
    </row>
    <row r="153">
      <c r="A153" s="1" t="s">
        <v>478</v>
      </c>
      <c r="G153" s="18" t="s">
        <v>474</v>
      </c>
    </row>
    <row r="154">
      <c r="A154" s="16" t="s">
        <v>589</v>
      </c>
      <c r="G154" s="17" t="s">
        <v>478</v>
      </c>
      <c r="H154" s="5" t="s">
        <v>479</v>
      </c>
    </row>
    <row r="155">
      <c r="G155" s="18" t="s">
        <v>479</v>
      </c>
    </row>
    <row r="156">
      <c r="H156" s="5" t="str">
        <f>G157</f>
        <v/>
      </c>
    </row>
    <row r="158">
      <c r="H158" s="5" t="str">
        <f>G159</f>
        <v/>
      </c>
    </row>
    <row r="160">
      <c r="H160" s="5" t="str">
        <f>G161</f>
        <v/>
      </c>
    </row>
    <row r="162">
      <c r="H162" s="5" t="str">
        <f>G163</f>
        <v/>
      </c>
    </row>
    <row r="164">
      <c r="H164" s="5" t="str">
        <f>G165</f>
        <v/>
      </c>
    </row>
    <row r="166">
      <c r="H166" s="5" t="str">
        <f>G167</f>
        <v/>
      </c>
    </row>
    <row r="168">
      <c r="H168" s="5" t="str">
        <f>G169</f>
        <v/>
      </c>
    </row>
    <row r="170">
      <c r="H170" s="5" t="str">
        <f>G171</f>
        <v/>
      </c>
    </row>
    <row r="172">
      <c r="H172" s="5" t="str">
        <f>G173</f>
        <v/>
      </c>
    </row>
    <row r="174">
      <c r="H174" s="5" t="str">
        <f>G175</f>
        <v/>
      </c>
    </row>
    <row r="176">
      <c r="H176" s="5" t="str">
        <f>G177</f>
        <v/>
      </c>
    </row>
    <row r="178">
      <c r="H178" s="5" t="str">
        <f>G179</f>
        <v/>
      </c>
    </row>
    <row r="180">
      <c r="H180" s="5" t="str">
        <f>G181</f>
        <v/>
      </c>
    </row>
    <row r="182">
      <c r="H182" s="5" t="str">
        <f>G183</f>
        <v/>
      </c>
    </row>
    <row r="184">
      <c r="H184" s="5" t="str">
        <f>G185</f>
        <v/>
      </c>
    </row>
    <row r="186">
      <c r="H186" s="5" t="str">
        <f>G187</f>
        <v/>
      </c>
    </row>
    <row r="188">
      <c r="H188" s="5" t="str">
        <f>G189</f>
        <v/>
      </c>
    </row>
    <row r="190">
      <c r="H190" s="5" t="str">
        <f>G191</f>
        <v/>
      </c>
    </row>
    <row r="192">
      <c r="H192" s="5" t="str">
        <f>G193</f>
        <v/>
      </c>
    </row>
    <row r="194">
      <c r="H194" s="5" t="str">
        <f>G195</f>
        <v/>
      </c>
    </row>
    <row r="196">
      <c r="H196" s="5" t="str">
        <f>G197</f>
        <v/>
      </c>
    </row>
    <row r="198">
      <c r="H198" s="5" t="str">
        <f>G199</f>
        <v/>
      </c>
    </row>
    <row r="200">
      <c r="H200" s="5" t="str">
        <f>G201</f>
        <v/>
      </c>
    </row>
    <row r="202">
      <c r="H202" s="5" t="str">
        <f>G203</f>
        <v/>
      </c>
    </row>
    <row r="204">
      <c r="H204" s="5" t="str">
        <f>G205</f>
        <v/>
      </c>
    </row>
    <row r="206">
      <c r="H206" s="5" t="str">
        <f>G207</f>
        <v/>
      </c>
    </row>
    <row r="208">
      <c r="H208" s="5" t="str">
        <f>G209</f>
        <v/>
      </c>
    </row>
    <row r="210">
      <c r="H210" s="5" t="str">
        <f>G211</f>
        <v/>
      </c>
    </row>
    <row r="212">
      <c r="H212" s="5" t="str">
        <f>G213</f>
        <v/>
      </c>
    </row>
    <row r="214">
      <c r="H214" s="5" t="str">
        <f>G215</f>
        <v/>
      </c>
    </row>
    <row r="216">
      <c r="H216" s="5" t="str">
        <f>G217</f>
        <v/>
      </c>
    </row>
    <row r="218">
      <c r="H218" s="5" t="str">
        <f>G219</f>
        <v/>
      </c>
    </row>
    <row r="220">
      <c r="H220" s="5" t="str">
        <f>G221</f>
        <v/>
      </c>
    </row>
    <row r="222">
      <c r="H222" s="5" t="str">
        <f>G223</f>
        <v/>
      </c>
    </row>
    <row r="224">
      <c r="H224" s="5" t="str">
        <f>G225</f>
        <v/>
      </c>
    </row>
    <row r="226">
      <c r="H226" s="5" t="str">
        <f>G227</f>
        <v/>
      </c>
    </row>
    <row r="228">
      <c r="H228" s="5" t="str">
        <f>G229</f>
        <v/>
      </c>
    </row>
    <row r="230">
      <c r="H230" s="5" t="str">
        <f>G231</f>
        <v/>
      </c>
    </row>
    <row r="232">
      <c r="H232" s="5" t="str">
        <f>G233</f>
        <v/>
      </c>
    </row>
    <row r="234">
      <c r="H234" s="5" t="str">
        <f>G235</f>
        <v/>
      </c>
    </row>
    <row r="236">
      <c r="H236" s="5" t="str">
        <f>G237</f>
        <v/>
      </c>
    </row>
    <row r="238">
      <c r="H238" s="5" t="str">
        <f>G239</f>
        <v/>
      </c>
    </row>
    <row r="240">
      <c r="H240" s="5" t="str">
        <f>G241</f>
        <v/>
      </c>
    </row>
    <row r="242">
      <c r="H242" s="5" t="str">
        <f>G243</f>
        <v/>
      </c>
    </row>
    <row r="244">
      <c r="H244" s="5" t="str">
        <f>G245</f>
        <v/>
      </c>
    </row>
    <row r="246">
      <c r="H246" s="5" t="str">
        <f>G247</f>
        <v/>
      </c>
    </row>
    <row r="248">
      <c r="H248" s="5" t="str">
        <f>G249</f>
        <v/>
      </c>
    </row>
    <row r="250">
      <c r="H250" s="5" t="str">
        <f>G251</f>
        <v/>
      </c>
    </row>
    <row r="252">
      <c r="H252" s="5" t="str">
        <f>G253</f>
        <v/>
      </c>
    </row>
    <row r="254">
      <c r="H254" s="5" t="str">
        <f>G255</f>
        <v/>
      </c>
    </row>
    <row r="256">
      <c r="H256" s="5" t="str">
        <f>G257</f>
        <v/>
      </c>
    </row>
    <row r="258">
      <c r="H258" s="5" t="str">
        <f>G259</f>
        <v/>
      </c>
    </row>
    <row r="260">
      <c r="H260" s="5" t="str">
        <f>G261</f>
        <v/>
      </c>
    </row>
    <row r="262">
      <c r="H262" s="5" t="str">
        <f>G263</f>
        <v/>
      </c>
    </row>
    <row r="264">
      <c r="H264" s="5" t="str">
        <f>G265</f>
        <v/>
      </c>
    </row>
    <row r="266">
      <c r="H266" s="5" t="str">
        <f>G267</f>
        <v/>
      </c>
    </row>
    <row r="268">
      <c r="H268" s="5" t="str">
        <f>G269</f>
        <v/>
      </c>
    </row>
    <row r="270">
      <c r="H270" s="5" t="str">
        <f>G271</f>
        <v/>
      </c>
    </row>
    <row r="272">
      <c r="H272" s="5" t="str">
        <f>G273</f>
        <v/>
      </c>
    </row>
    <row r="274">
      <c r="H274" s="5" t="str">
        <f>G275</f>
        <v/>
      </c>
    </row>
    <row r="276">
      <c r="H276" s="5" t="str">
        <f>G277</f>
        <v/>
      </c>
    </row>
    <row r="278">
      <c r="H278" s="5" t="str">
        <f>G279</f>
        <v/>
      </c>
    </row>
    <row r="280">
      <c r="H280" s="5" t="str">
        <f>G281</f>
        <v/>
      </c>
    </row>
    <row r="282">
      <c r="H282" s="5" t="str">
        <f>G283</f>
        <v/>
      </c>
    </row>
    <row r="284">
      <c r="H284" s="5" t="str">
        <f>G285</f>
        <v/>
      </c>
    </row>
    <row r="286">
      <c r="H286" s="5" t="str">
        <f>G287</f>
        <v/>
      </c>
    </row>
    <row r="288">
      <c r="H288" s="5" t="str">
        <f>G289</f>
        <v/>
      </c>
    </row>
    <row r="290">
      <c r="H290" s="5" t="str">
        <f>G291</f>
        <v/>
      </c>
    </row>
    <row r="292">
      <c r="H292" s="5" t="str">
        <f>G293</f>
        <v/>
      </c>
    </row>
    <row r="294">
      <c r="H294" s="5" t="str">
        <f>G295</f>
        <v/>
      </c>
    </row>
    <row r="296">
      <c r="H296" s="5" t="str">
        <f>G297</f>
        <v/>
      </c>
    </row>
    <row r="298">
      <c r="H298" s="5" t="str">
        <f>G299</f>
        <v/>
      </c>
    </row>
    <row r="300">
      <c r="H300" s="5" t="str">
        <f>G301</f>
        <v/>
      </c>
    </row>
    <row r="302">
      <c r="H302" s="5" t="str">
        <f>G303</f>
        <v/>
      </c>
    </row>
    <row r="304">
      <c r="H304" s="5" t="str">
        <f>G305</f>
        <v/>
      </c>
    </row>
    <row r="306">
      <c r="H306" s="5" t="str">
        <f>G307</f>
        <v/>
      </c>
    </row>
    <row r="308">
      <c r="H308" s="5" t="str">
        <f>G309</f>
        <v/>
      </c>
    </row>
    <row r="310">
      <c r="H310" s="5" t="str">
        <f>G311</f>
        <v/>
      </c>
    </row>
    <row r="312">
      <c r="H312" s="5" t="str">
        <f>G313</f>
        <v/>
      </c>
    </row>
    <row r="314">
      <c r="H314" s="5" t="str">
        <f>G315</f>
        <v/>
      </c>
    </row>
    <row r="316">
      <c r="H316" s="5" t="str">
        <f>G317</f>
        <v/>
      </c>
    </row>
    <row r="318">
      <c r="H318" s="5" t="str">
        <f>G319</f>
        <v/>
      </c>
    </row>
    <row r="320">
      <c r="H320" s="5" t="str">
        <f>G321</f>
        <v/>
      </c>
    </row>
    <row r="322">
      <c r="H322" s="5" t="str">
        <f>G323</f>
        <v/>
      </c>
    </row>
    <row r="324">
      <c r="H324" s="5" t="str">
        <f>G325</f>
        <v/>
      </c>
    </row>
    <row r="326">
      <c r="H326" s="5" t="str">
        <f>G327</f>
        <v/>
      </c>
    </row>
    <row r="328">
      <c r="H328" s="5" t="str">
        <f>G329</f>
        <v/>
      </c>
    </row>
    <row r="330">
      <c r="H330" s="5" t="str">
        <f>G331</f>
        <v/>
      </c>
    </row>
    <row r="332">
      <c r="H332" s="5" t="str">
        <f>G333</f>
        <v/>
      </c>
    </row>
    <row r="334">
      <c r="H334" s="5" t="str">
        <f>G335</f>
        <v/>
      </c>
    </row>
    <row r="336">
      <c r="H336" s="5" t="str">
        <f>G337</f>
        <v/>
      </c>
    </row>
    <row r="338">
      <c r="H338" s="5" t="str">
        <f>G339</f>
        <v/>
      </c>
    </row>
    <row r="340">
      <c r="H340" s="5" t="str">
        <f>G341</f>
        <v/>
      </c>
    </row>
    <row r="342">
      <c r="H342" s="5" t="str">
        <f>G343</f>
        <v/>
      </c>
    </row>
    <row r="344">
      <c r="H344" s="5" t="str">
        <f>G345</f>
        <v/>
      </c>
    </row>
    <row r="346">
      <c r="H346" s="5" t="str">
        <f>G347</f>
        <v/>
      </c>
    </row>
    <row r="348">
      <c r="H348" s="5" t="str">
        <f>G349</f>
        <v/>
      </c>
    </row>
    <row r="350">
      <c r="H350" s="5" t="str">
        <f>G351</f>
        <v/>
      </c>
    </row>
    <row r="352">
      <c r="H352" s="5" t="str">
        <f>G353</f>
        <v/>
      </c>
    </row>
    <row r="354">
      <c r="H354" s="5" t="str">
        <f>G355</f>
        <v/>
      </c>
    </row>
    <row r="356">
      <c r="H356" s="5" t="str">
        <f>G357</f>
        <v/>
      </c>
    </row>
    <row r="358">
      <c r="H358" s="5" t="str">
        <f>G359</f>
        <v/>
      </c>
    </row>
    <row r="360">
      <c r="H360" s="5" t="str">
        <f>G361</f>
        <v/>
      </c>
    </row>
    <row r="362">
      <c r="H362" s="5" t="str">
        <f>G363</f>
        <v/>
      </c>
    </row>
    <row r="364">
      <c r="H364" s="5" t="str">
        <f>G365</f>
        <v/>
      </c>
    </row>
    <row r="366">
      <c r="H366" s="5" t="str">
        <f>G367</f>
        <v/>
      </c>
    </row>
    <row r="368">
      <c r="H368" s="5" t="str">
        <f>G369</f>
        <v/>
      </c>
    </row>
    <row r="370">
      <c r="H370" s="5" t="str">
        <f>G371</f>
        <v/>
      </c>
    </row>
    <row r="372">
      <c r="H372" s="5" t="str">
        <f>G373</f>
        <v/>
      </c>
    </row>
    <row r="374">
      <c r="H374" s="5" t="str">
        <f>G375</f>
        <v/>
      </c>
    </row>
    <row r="376">
      <c r="H376" s="5" t="str">
        <f>G377</f>
        <v/>
      </c>
    </row>
    <row r="378">
      <c r="H378" s="5" t="str">
        <f>G379</f>
        <v/>
      </c>
    </row>
    <row r="380">
      <c r="H380" s="5" t="str">
        <f>G381</f>
        <v/>
      </c>
    </row>
    <row r="382">
      <c r="H382" s="5" t="str">
        <f>G383</f>
        <v/>
      </c>
    </row>
    <row r="384">
      <c r="H384" s="5" t="str">
        <f>G385</f>
        <v/>
      </c>
    </row>
    <row r="386">
      <c r="H386" s="5" t="str">
        <f>G387</f>
        <v/>
      </c>
    </row>
    <row r="388">
      <c r="H388" s="5" t="str">
        <f>G389</f>
        <v/>
      </c>
    </row>
    <row r="390">
      <c r="H390" s="5" t="str">
        <f>G391</f>
        <v/>
      </c>
    </row>
    <row r="392">
      <c r="H392" s="5" t="str">
        <f>G393</f>
        <v/>
      </c>
    </row>
    <row r="394">
      <c r="H394" s="5" t="str">
        <f>G395</f>
        <v/>
      </c>
    </row>
    <row r="396">
      <c r="H396" s="5" t="str">
        <f>G397</f>
        <v/>
      </c>
    </row>
    <row r="398">
      <c r="H398" s="5" t="str">
        <f>G399</f>
        <v/>
      </c>
    </row>
    <row r="400">
      <c r="H400" s="5" t="str">
        <f>G401</f>
        <v/>
      </c>
    </row>
    <row r="402">
      <c r="H402" s="5" t="str">
        <f>G403</f>
        <v/>
      </c>
    </row>
    <row r="404">
      <c r="H404" s="5" t="str">
        <f>G405</f>
        <v/>
      </c>
    </row>
    <row r="406">
      <c r="H406" s="5" t="str">
        <f>G407</f>
        <v/>
      </c>
    </row>
    <row r="408">
      <c r="H408" s="5" t="str">
        <f>G409</f>
        <v/>
      </c>
    </row>
    <row r="410">
      <c r="H410" s="5" t="str">
        <f>G411</f>
        <v/>
      </c>
    </row>
    <row r="412">
      <c r="H412" s="5" t="str">
        <f>G413</f>
        <v/>
      </c>
    </row>
    <row r="414">
      <c r="H414" s="5" t="str">
        <f>G415</f>
        <v/>
      </c>
    </row>
    <row r="416">
      <c r="H416" s="5" t="str">
        <f>G417</f>
        <v/>
      </c>
    </row>
    <row r="418">
      <c r="H418" s="5" t="str">
        <f>G419</f>
        <v/>
      </c>
    </row>
    <row r="420">
      <c r="H420" s="5" t="str">
        <f>G421</f>
        <v/>
      </c>
    </row>
    <row r="422">
      <c r="H422" s="5" t="str">
        <f>G423</f>
        <v/>
      </c>
    </row>
    <row r="424">
      <c r="H424" s="5" t="str">
        <f>G425</f>
        <v/>
      </c>
    </row>
    <row r="426">
      <c r="H426" s="5" t="str">
        <f>G427</f>
        <v/>
      </c>
    </row>
    <row r="428">
      <c r="H428" s="5" t="str">
        <f>G429</f>
        <v/>
      </c>
    </row>
    <row r="430">
      <c r="H430" s="5" t="str">
        <f>G431</f>
        <v/>
      </c>
    </row>
    <row r="432">
      <c r="H432" s="5" t="str">
        <f>G433</f>
        <v/>
      </c>
    </row>
    <row r="434">
      <c r="H434" s="5" t="str">
        <f>G435</f>
        <v/>
      </c>
    </row>
    <row r="436">
      <c r="H436" s="5" t="str">
        <f>G437</f>
        <v/>
      </c>
    </row>
    <row r="438">
      <c r="H438" s="5" t="str">
        <f>G439</f>
        <v/>
      </c>
    </row>
    <row r="440">
      <c r="H440" s="5" t="str">
        <f>G441</f>
        <v/>
      </c>
    </row>
    <row r="442">
      <c r="H442" s="5" t="str">
        <f>G443</f>
        <v/>
      </c>
    </row>
    <row r="444">
      <c r="H444" s="5" t="str">
        <f>G445</f>
        <v/>
      </c>
    </row>
    <row r="446">
      <c r="H446" s="5" t="str">
        <f>G447</f>
        <v/>
      </c>
    </row>
    <row r="448">
      <c r="H448" s="5" t="str">
        <f>G449</f>
        <v/>
      </c>
    </row>
    <row r="450">
      <c r="H450" s="5" t="str">
        <f>G451</f>
        <v/>
      </c>
    </row>
    <row r="452">
      <c r="H452" s="5" t="str">
        <f>G453</f>
        <v/>
      </c>
    </row>
    <row r="454">
      <c r="H454" s="5" t="str">
        <f>G455</f>
        <v/>
      </c>
    </row>
    <row r="456">
      <c r="H456" s="5" t="str">
        <f>G457</f>
        <v/>
      </c>
    </row>
    <row r="458">
      <c r="H458" s="5" t="str">
        <f>G459</f>
        <v/>
      </c>
    </row>
    <row r="460">
      <c r="H460" s="5" t="str">
        <f>G461</f>
        <v/>
      </c>
    </row>
    <row r="462">
      <c r="H462" s="5" t="str">
        <f>G463</f>
        <v/>
      </c>
    </row>
    <row r="464">
      <c r="H464" s="5" t="str">
        <f>G465</f>
        <v/>
      </c>
    </row>
    <row r="466">
      <c r="H466" s="5" t="str">
        <f>G467</f>
        <v/>
      </c>
    </row>
    <row r="468">
      <c r="H468" s="5" t="str">
        <f>G469</f>
        <v/>
      </c>
    </row>
    <row r="470">
      <c r="H470" s="5" t="str">
        <f>G471</f>
        <v/>
      </c>
    </row>
    <row r="472">
      <c r="H472" s="5" t="str">
        <f>G473</f>
        <v/>
      </c>
    </row>
    <row r="474">
      <c r="H474" s="5" t="str">
        <f>G475</f>
        <v/>
      </c>
    </row>
    <row r="476">
      <c r="H476" s="5" t="str">
        <f>G477</f>
        <v/>
      </c>
    </row>
    <row r="478">
      <c r="H478" s="5" t="str">
        <f>G479</f>
        <v/>
      </c>
    </row>
    <row r="480">
      <c r="H480" s="5" t="str">
        <f>G481</f>
        <v/>
      </c>
    </row>
    <row r="482">
      <c r="H482" s="5" t="str">
        <f>G483</f>
        <v/>
      </c>
    </row>
    <row r="484">
      <c r="H484" s="5" t="str">
        <f>G485</f>
        <v/>
      </c>
    </row>
    <row r="486">
      <c r="H486" s="5" t="str">
        <f>G487</f>
        <v/>
      </c>
    </row>
    <row r="488">
      <c r="H488" s="5" t="str">
        <f>G489</f>
        <v/>
      </c>
    </row>
    <row r="490">
      <c r="H490" s="5" t="str">
        <f>G491</f>
        <v/>
      </c>
    </row>
    <row r="492">
      <c r="H492" s="5" t="str">
        <f>G493</f>
        <v/>
      </c>
    </row>
    <row r="494">
      <c r="H494" s="5" t="str">
        <f>G495</f>
        <v/>
      </c>
    </row>
    <row r="496">
      <c r="H496" s="5" t="str">
        <f>G497</f>
        <v/>
      </c>
    </row>
    <row r="498">
      <c r="H498" s="5" t="str">
        <f>G499</f>
        <v/>
      </c>
    </row>
    <row r="500">
      <c r="H500" s="5" t="str">
        <f>G501</f>
        <v/>
      </c>
    </row>
    <row r="502">
      <c r="H502" s="5" t="str">
        <f>G503</f>
        <v/>
      </c>
    </row>
    <row r="504">
      <c r="H504" s="5" t="str">
        <f>G505</f>
        <v/>
      </c>
    </row>
    <row r="506">
      <c r="H506" s="5" t="str">
        <f>G507</f>
        <v/>
      </c>
    </row>
    <row r="508">
      <c r="H508" s="5" t="str">
        <f>G509</f>
        <v/>
      </c>
    </row>
    <row r="510">
      <c r="H510" s="5" t="str">
        <f>G511</f>
        <v/>
      </c>
    </row>
    <row r="512">
      <c r="H512" s="5" t="str">
        <f>G513</f>
        <v/>
      </c>
    </row>
    <row r="514">
      <c r="H514" s="5" t="str">
        <f>G515</f>
        <v/>
      </c>
    </row>
    <row r="516">
      <c r="H516" s="5" t="str">
        <f>G517</f>
        <v/>
      </c>
    </row>
    <row r="518">
      <c r="H518" s="5" t="str">
        <f>G519</f>
        <v/>
      </c>
    </row>
    <row r="520">
      <c r="H520" s="5" t="str">
        <f>G521</f>
        <v/>
      </c>
    </row>
    <row r="522">
      <c r="H522" s="5" t="str">
        <f>G523</f>
        <v/>
      </c>
    </row>
    <row r="524">
      <c r="H524" s="5" t="str">
        <f>G525</f>
        <v/>
      </c>
    </row>
    <row r="526">
      <c r="H526" s="5" t="str">
        <f>G527</f>
        <v/>
      </c>
    </row>
    <row r="528">
      <c r="H528" s="5" t="str">
        <f>G529</f>
        <v/>
      </c>
    </row>
    <row r="530">
      <c r="H530" s="5" t="str">
        <f>G531</f>
        <v/>
      </c>
    </row>
    <row r="532">
      <c r="H532" s="5" t="str">
        <f>G533</f>
        <v/>
      </c>
    </row>
    <row r="534">
      <c r="H534" s="5" t="str">
        <f>G535</f>
        <v/>
      </c>
    </row>
    <row r="536">
      <c r="H536" s="5" t="str">
        <f>G537</f>
        <v/>
      </c>
    </row>
    <row r="538">
      <c r="H538" s="5" t="str">
        <f>G539</f>
        <v/>
      </c>
    </row>
    <row r="540">
      <c r="H540" s="5" t="str">
        <f>G541</f>
        <v/>
      </c>
    </row>
    <row r="542">
      <c r="H542" s="5" t="str">
        <f>G543</f>
        <v/>
      </c>
    </row>
    <row r="544">
      <c r="H544" s="5" t="str">
        <f>G545</f>
        <v/>
      </c>
    </row>
    <row r="546">
      <c r="H546" s="5" t="str">
        <f>G547</f>
        <v/>
      </c>
    </row>
    <row r="548">
      <c r="H548" s="5" t="str">
        <f>G549</f>
        <v/>
      </c>
    </row>
    <row r="550">
      <c r="H550" s="5" t="str">
        <f>G551</f>
        <v/>
      </c>
    </row>
    <row r="552">
      <c r="H552" s="5" t="str">
        <f>G553</f>
        <v/>
      </c>
    </row>
    <row r="554">
      <c r="H554" s="5" t="str">
        <f>G555</f>
        <v/>
      </c>
    </row>
    <row r="556">
      <c r="H556" s="5" t="str">
        <f>G557</f>
        <v/>
      </c>
    </row>
    <row r="558">
      <c r="H558" s="5" t="str">
        <f>G559</f>
        <v/>
      </c>
    </row>
    <row r="560">
      <c r="H560" s="5" t="str">
        <f>G561</f>
        <v/>
      </c>
    </row>
    <row r="562">
      <c r="H562" s="5" t="str">
        <f>G563</f>
        <v/>
      </c>
    </row>
    <row r="564">
      <c r="H564" s="5" t="str">
        <f>G565</f>
        <v/>
      </c>
    </row>
    <row r="566">
      <c r="H566" s="5" t="str">
        <f>G567</f>
        <v/>
      </c>
    </row>
    <row r="568">
      <c r="H568" s="5" t="str">
        <f>G569</f>
        <v/>
      </c>
    </row>
    <row r="570">
      <c r="H570" s="5" t="str">
        <f>G571</f>
        <v/>
      </c>
    </row>
    <row r="572">
      <c r="H572" s="5" t="str">
        <f>G573</f>
        <v/>
      </c>
    </row>
    <row r="574">
      <c r="H574" s="5" t="str">
        <f>G575</f>
        <v/>
      </c>
    </row>
    <row r="576">
      <c r="H576" s="5" t="str">
        <f>G577</f>
        <v/>
      </c>
    </row>
    <row r="578">
      <c r="H578" s="5" t="str">
        <f>G579</f>
        <v/>
      </c>
    </row>
    <row r="580">
      <c r="H580" s="5" t="str">
        <f>G581</f>
        <v/>
      </c>
    </row>
    <row r="582">
      <c r="H582" s="5" t="str">
        <f>G583</f>
        <v/>
      </c>
    </row>
    <row r="584">
      <c r="H584" s="5" t="str">
        <f>G585</f>
        <v/>
      </c>
    </row>
    <row r="586">
      <c r="H586" s="5" t="str">
        <f>G587</f>
        <v/>
      </c>
    </row>
    <row r="588">
      <c r="H588" s="5" t="str">
        <f>G589</f>
        <v/>
      </c>
    </row>
    <row r="590">
      <c r="H590" s="5" t="str">
        <f>G591</f>
        <v/>
      </c>
    </row>
    <row r="592">
      <c r="H592" s="5" t="str">
        <f>G593</f>
        <v/>
      </c>
    </row>
    <row r="594">
      <c r="H594" s="5" t="str">
        <f>G595</f>
        <v/>
      </c>
    </row>
    <row r="596">
      <c r="H596" s="5" t="str">
        <f>G597</f>
        <v/>
      </c>
    </row>
    <row r="598">
      <c r="H598" s="5" t="str">
        <f>G599</f>
        <v/>
      </c>
    </row>
    <row r="600">
      <c r="H600" s="5" t="str">
        <f>G601</f>
        <v/>
      </c>
    </row>
    <row r="602">
      <c r="H602" s="5" t="str">
        <f>G603</f>
        <v/>
      </c>
    </row>
    <row r="604">
      <c r="H604" s="5" t="str">
        <f>G605</f>
        <v/>
      </c>
    </row>
    <row r="606">
      <c r="H606" s="5" t="str">
        <f>G607</f>
        <v/>
      </c>
    </row>
    <row r="608">
      <c r="H608" s="5" t="str">
        <f>G609</f>
        <v/>
      </c>
    </row>
    <row r="610">
      <c r="H610" s="5" t="str">
        <f>G611</f>
        <v/>
      </c>
    </row>
    <row r="612">
      <c r="H612" s="5" t="str">
        <f>G613</f>
        <v/>
      </c>
    </row>
    <row r="614">
      <c r="H614" s="5" t="str">
        <f>G615</f>
        <v/>
      </c>
    </row>
    <row r="616">
      <c r="H616" s="5" t="str">
        <f>G617</f>
        <v/>
      </c>
    </row>
    <row r="618">
      <c r="H618" s="5" t="str">
        <f>G619</f>
        <v/>
      </c>
    </row>
    <row r="620">
      <c r="H620" s="5" t="str">
        <f>G621</f>
        <v/>
      </c>
    </row>
    <row r="622">
      <c r="H622" s="5" t="str">
        <f>G623</f>
        <v/>
      </c>
    </row>
    <row r="624">
      <c r="H624" s="5" t="str">
        <f>G625</f>
        <v/>
      </c>
    </row>
    <row r="626">
      <c r="H626" s="5" t="str">
        <f>G627</f>
        <v/>
      </c>
    </row>
    <row r="628">
      <c r="H628" s="5" t="str">
        <f>G629</f>
        <v/>
      </c>
    </row>
    <row r="630">
      <c r="H630" s="5" t="str">
        <f>G631</f>
        <v/>
      </c>
    </row>
    <row r="632">
      <c r="H632" s="5" t="str">
        <f>G633</f>
        <v/>
      </c>
    </row>
    <row r="634">
      <c r="H634" s="5" t="str">
        <f>G635</f>
        <v/>
      </c>
    </row>
    <row r="636">
      <c r="H636" s="5" t="str">
        <f>G637</f>
        <v/>
      </c>
    </row>
    <row r="638">
      <c r="H638" s="5" t="str">
        <f>G639</f>
        <v/>
      </c>
    </row>
    <row r="640">
      <c r="H640" s="5" t="str">
        <f>G641</f>
        <v/>
      </c>
    </row>
    <row r="642">
      <c r="H642" s="5" t="str">
        <f>G643</f>
        <v/>
      </c>
    </row>
    <row r="644">
      <c r="H644" s="5" t="str">
        <f>G645</f>
        <v/>
      </c>
    </row>
    <row r="646">
      <c r="H646" s="5" t="str">
        <f>G647</f>
        <v/>
      </c>
    </row>
    <row r="648">
      <c r="H648" s="5" t="str">
        <f>G649</f>
        <v/>
      </c>
    </row>
    <row r="650">
      <c r="H650" s="5" t="str">
        <f>G651</f>
        <v/>
      </c>
    </row>
    <row r="652">
      <c r="H652" s="5" t="str">
        <f>G653</f>
        <v/>
      </c>
    </row>
    <row r="654">
      <c r="H654" s="5" t="str">
        <f>G655</f>
        <v/>
      </c>
    </row>
    <row r="656">
      <c r="H656" s="5" t="str">
        <f>G657</f>
        <v/>
      </c>
    </row>
    <row r="658">
      <c r="H658" s="5" t="str">
        <f>G659</f>
        <v/>
      </c>
    </row>
    <row r="660">
      <c r="H660" s="5" t="str">
        <f>G661</f>
        <v/>
      </c>
    </row>
    <row r="662">
      <c r="H662" s="5" t="str">
        <f>G663</f>
        <v/>
      </c>
    </row>
    <row r="664">
      <c r="H664" s="5" t="str">
        <f>G665</f>
        <v/>
      </c>
    </row>
    <row r="666">
      <c r="H666" s="5" t="str">
        <f>G667</f>
        <v/>
      </c>
    </row>
    <row r="668">
      <c r="H668" s="5" t="str">
        <f>G669</f>
        <v/>
      </c>
    </row>
    <row r="670">
      <c r="H670" s="5" t="str">
        <f>G671</f>
        <v/>
      </c>
    </row>
    <row r="672">
      <c r="H672" s="5" t="str">
        <f>G673</f>
        <v/>
      </c>
    </row>
    <row r="674">
      <c r="H674" s="5" t="str">
        <f>G675</f>
        <v/>
      </c>
    </row>
    <row r="676">
      <c r="H676" s="5" t="str">
        <f>G677</f>
        <v/>
      </c>
    </row>
    <row r="678">
      <c r="H678" s="5" t="str">
        <f>G679</f>
        <v/>
      </c>
    </row>
    <row r="680">
      <c r="H680" s="5" t="str">
        <f>G681</f>
        <v/>
      </c>
    </row>
    <row r="682">
      <c r="H682" s="5" t="str">
        <f>G683</f>
        <v/>
      </c>
    </row>
    <row r="684">
      <c r="H684" s="5" t="str">
        <f>G685</f>
        <v/>
      </c>
    </row>
    <row r="686">
      <c r="H686" s="5" t="str">
        <f>G687</f>
        <v/>
      </c>
    </row>
    <row r="688">
      <c r="H688" s="5" t="str">
        <f>G689</f>
        <v/>
      </c>
    </row>
    <row r="690">
      <c r="H690" s="5" t="str">
        <f>G691</f>
        <v/>
      </c>
    </row>
    <row r="692">
      <c r="H692" s="5" t="str">
        <f>G693</f>
        <v/>
      </c>
    </row>
    <row r="694">
      <c r="H694" s="5" t="str">
        <f>G695</f>
        <v/>
      </c>
    </row>
    <row r="696">
      <c r="H696" s="5" t="str">
        <f>G697</f>
        <v/>
      </c>
    </row>
    <row r="698">
      <c r="H698" s="5" t="str">
        <f>G699</f>
        <v/>
      </c>
    </row>
    <row r="700">
      <c r="H700" s="5" t="str">
        <f>G701</f>
        <v/>
      </c>
    </row>
    <row r="702">
      <c r="H702" s="5" t="str">
        <f>G703</f>
        <v/>
      </c>
    </row>
    <row r="704">
      <c r="H704" s="5" t="str">
        <f>G705</f>
        <v/>
      </c>
    </row>
    <row r="706">
      <c r="H706" s="5" t="str">
        <f>G707</f>
        <v/>
      </c>
    </row>
    <row r="708">
      <c r="H708" s="5" t="str">
        <f>G709</f>
        <v/>
      </c>
    </row>
    <row r="710">
      <c r="H710" s="5" t="str">
        <f>G711</f>
        <v/>
      </c>
    </row>
    <row r="712">
      <c r="H712" s="5" t="str">
        <f>G713</f>
        <v/>
      </c>
    </row>
    <row r="714">
      <c r="H714" s="5" t="str">
        <f>G715</f>
        <v/>
      </c>
    </row>
    <row r="716">
      <c r="H716" s="5" t="str">
        <f>G717</f>
        <v/>
      </c>
    </row>
    <row r="718">
      <c r="H718" s="5" t="str">
        <f>G719</f>
        <v/>
      </c>
    </row>
    <row r="720">
      <c r="H720" s="5" t="str">
        <f>G721</f>
        <v/>
      </c>
    </row>
    <row r="722">
      <c r="H722" s="5" t="str">
        <f>G723</f>
        <v/>
      </c>
    </row>
    <row r="724">
      <c r="H724" s="5" t="str">
        <f>G725</f>
        <v/>
      </c>
    </row>
    <row r="726">
      <c r="H726" s="5" t="str">
        <f>G727</f>
        <v/>
      </c>
    </row>
    <row r="728">
      <c r="H728" s="5" t="str">
        <f>G729</f>
        <v/>
      </c>
    </row>
    <row r="730">
      <c r="H730" s="5" t="str">
        <f>G731</f>
        <v/>
      </c>
    </row>
    <row r="732">
      <c r="H732" s="5" t="str">
        <f>G733</f>
        <v/>
      </c>
    </row>
    <row r="734">
      <c r="H734" s="5" t="str">
        <f>G735</f>
        <v/>
      </c>
    </row>
    <row r="736">
      <c r="H736" s="5" t="str">
        <f>G737</f>
        <v/>
      </c>
    </row>
    <row r="738">
      <c r="H738" s="5" t="str">
        <f>G739</f>
        <v/>
      </c>
    </row>
    <row r="740">
      <c r="H740" s="5" t="str">
        <f>G741</f>
        <v/>
      </c>
    </row>
    <row r="742">
      <c r="H742" s="5" t="str">
        <f>G743</f>
        <v/>
      </c>
    </row>
    <row r="744">
      <c r="H744" s="5" t="str">
        <f>G745</f>
        <v/>
      </c>
    </row>
    <row r="746">
      <c r="H746" s="5" t="str">
        <f>G747</f>
        <v/>
      </c>
    </row>
    <row r="748">
      <c r="H748" s="5" t="str">
        <f>G749</f>
        <v/>
      </c>
    </row>
    <row r="750">
      <c r="H750" s="5" t="str">
        <f>G751</f>
        <v/>
      </c>
    </row>
    <row r="752">
      <c r="H752" s="5" t="str">
        <f>G753</f>
        <v/>
      </c>
    </row>
    <row r="754">
      <c r="H754" s="5" t="str">
        <f>G755</f>
        <v/>
      </c>
    </row>
    <row r="756">
      <c r="H756" s="5" t="str">
        <f>G757</f>
        <v/>
      </c>
    </row>
    <row r="758">
      <c r="H758" s="5" t="str">
        <f>G759</f>
        <v/>
      </c>
    </row>
    <row r="760">
      <c r="H760" s="5" t="str">
        <f>G761</f>
        <v/>
      </c>
    </row>
    <row r="762">
      <c r="H762" s="5" t="str">
        <f>G763</f>
        <v/>
      </c>
    </row>
    <row r="764">
      <c r="H764" s="5" t="str">
        <f>G765</f>
        <v/>
      </c>
    </row>
    <row r="766">
      <c r="H766" s="5" t="str">
        <f>G767</f>
        <v/>
      </c>
    </row>
    <row r="768">
      <c r="H768" s="5" t="str">
        <f>G769</f>
        <v/>
      </c>
    </row>
    <row r="770">
      <c r="H770" s="5" t="str">
        <f>G771</f>
        <v/>
      </c>
    </row>
    <row r="772">
      <c r="H772" s="5" t="str">
        <f>G773</f>
        <v/>
      </c>
    </row>
    <row r="774">
      <c r="H774" s="5" t="str">
        <f>G775</f>
        <v/>
      </c>
    </row>
    <row r="776">
      <c r="H776" s="5" t="str">
        <f>G777</f>
        <v/>
      </c>
    </row>
    <row r="778">
      <c r="H778" s="5" t="str">
        <f>G779</f>
        <v/>
      </c>
    </row>
    <row r="780">
      <c r="H780" s="5" t="str">
        <f>G781</f>
        <v/>
      </c>
    </row>
    <row r="782">
      <c r="H782" s="5" t="str">
        <f>G783</f>
        <v/>
      </c>
    </row>
    <row r="784">
      <c r="H784" s="5" t="str">
        <f>G785</f>
        <v/>
      </c>
    </row>
    <row r="786">
      <c r="H786" s="5" t="str">
        <f>G787</f>
        <v/>
      </c>
    </row>
    <row r="788">
      <c r="H788" s="5" t="str">
        <f>G789</f>
        <v/>
      </c>
    </row>
    <row r="790">
      <c r="H790" s="5" t="str">
        <f>G791</f>
        <v/>
      </c>
    </row>
    <row r="792">
      <c r="H792" s="5" t="str">
        <f>G793</f>
        <v/>
      </c>
    </row>
    <row r="794">
      <c r="H794" s="5" t="str">
        <f>G795</f>
        <v/>
      </c>
    </row>
    <row r="796">
      <c r="H796" s="5" t="str">
        <f>G797</f>
        <v/>
      </c>
    </row>
    <row r="798">
      <c r="H798" s="5" t="str">
        <f>G799</f>
        <v/>
      </c>
    </row>
    <row r="800">
      <c r="H800" s="5" t="str">
        <f>G801</f>
        <v/>
      </c>
    </row>
    <row r="802">
      <c r="H802" s="5" t="str">
        <f>G803</f>
        <v/>
      </c>
    </row>
    <row r="804">
      <c r="H804" s="5" t="str">
        <f>G805</f>
        <v/>
      </c>
    </row>
    <row r="806">
      <c r="H806" s="5" t="str">
        <f>G807</f>
        <v/>
      </c>
    </row>
    <row r="808">
      <c r="H808" s="5" t="str">
        <f>G809</f>
        <v/>
      </c>
    </row>
    <row r="810">
      <c r="H810" s="5" t="str">
        <f>G811</f>
        <v/>
      </c>
    </row>
    <row r="812">
      <c r="H812" s="5" t="str">
        <f>G813</f>
        <v/>
      </c>
    </row>
    <row r="814">
      <c r="H814" s="5" t="str">
        <f>G815</f>
        <v/>
      </c>
    </row>
    <row r="816">
      <c r="H816" s="5" t="str">
        <f>G817</f>
        <v/>
      </c>
    </row>
    <row r="818">
      <c r="H818" s="5" t="str">
        <f>G819</f>
        <v/>
      </c>
    </row>
    <row r="820">
      <c r="H820" s="5" t="str">
        <f>G821</f>
        <v/>
      </c>
    </row>
    <row r="822">
      <c r="H822" s="5" t="str">
        <f>G823</f>
        <v/>
      </c>
    </row>
    <row r="824">
      <c r="H824" s="5" t="str">
        <f>G825</f>
        <v/>
      </c>
    </row>
    <row r="826">
      <c r="H826" s="5" t="str">
        <f>G827</f>
        <v/>
      </c>
    </row>
    <row r="828">
      <c r="H828" s="5" t="str">
        <f>G829</f>
        <v/>
      </c>
    </row>
    <row r="830">
      <c r="H830" s="5" t="str">
        <f>G831</f>
        <v/>
      </c>
    </row>
    <row r="832">
      <c r="H832" s="5" t="str">
        <f>G833</f>
        <v/>
      </c>
    </row>
    <row r="834">
      <c r="H834" s="5" t="str">
        <f>G835</f>
        <v/>
      </c>
    </row>
    <row r="836">
      <c r="H836" s="5" t="str">
        <f>G837</f>
        <v/>
      </c>
    </row>
    <row r="838">
      <c r="H838" s="5" t="str">
        <f>G839</f>
        <v/>
      </c>
    </row>
    <row r="840">
      <c r="H840" s="5" t="str">
        <f>G841</f>
        <v/>
      </c>
    </row>
    <row r="842">
      <c r="H842" s="5" t="str">
        <f>G843</f>
        <v/>
      </c>
    </row>
    <row r="844">
      <c r="H844" s="5" t="str">
        <f>G845</f>
        <v/>
      </c>
    </row>
    <row r="846">
      <c r="H846" s="5" t="str">
        <f>G847</f>
        <v/>
      </c>
    </row>
    <row r="848">
      <c r="H848" s="5" t="str">
        <f>G849</f>
        <v/>
      </c>
    </row>
    <row r="850">
      <c r="H850" s="5" t="str">
        <f>G851</f>
        <v/>
      </c>
    </row>
    <row r="852">
      <c r="H852" s="5" t="str">
        <f>G853</f>
        <v/>
      </c>
    </row>
    <row r="854">
      <c r="H854" s="5" t="str">
        <f>G855</f>
        <v/>
      </c>
    </row>
    <row r="856">
      <c r="H856" s="5" t="str">
        <f>G857</f>
        <v/>
      </c>
    </row>
    <row r="858">
      <c r="H858" s="5" t="str">
        <f>G859</f>
        <v/>
      </c>
    </row>
    <row r="860">
      <c r="H860" s="5" t="str">
        <f>G861</f>
        <v/>
      </c>
    </row>
    <row r="862">
      <c r="H862" s="5" t="str">
        <f>G863</f>
        <v/>
      </c>
    </row>
    <row r="864">
      <c r="H864" s="5" t="str">
        <f>G865</f>
        <v/>
      </c>
    </row>
    <row r="866">
      <c r="H866" s="5" t="str">
        <f>G867</f>
        <v/>
      </c>
    </row>
    <row r="868">
      <c r="H868" s="5" t="str">
        <f>G869</f>
        <v/>
      </c>
    </row>
    <row r="870">
      <c r="H870" s="5" t="str">
        <f>G871</f>
        <v/>
      </c>
    </row>
    <row r="872">
      <c r="H872" s="5" t="str">
        <f>G873</f>
        <v/>
      </c>
    </row>
    <row r="874">
      <c r="H874" s="5" t="str">
        <f>G875</f>
        <v/>
      </c>
    </row>
    <row r="876">
      <c r="H876" s="5" t="str">
        <f>G877</f>
        <v/>
      </c>
    </row>
    <row r="878">
      <c r="H878" s="5" t="str">
        <f>G879</f>
        <v/>
      </c>
    </row>
    <row r="880">
      <c r="H880" s="5" t="str">
        <f>G881</f>
        <v/>
      </c>
    </row>
    <row r="882">
      <c r="H882" s="5" t="str">
        <f>G883</f>
        <v/>
      </c>
    </row>
    <row r="884">
      <c r="H884" s="5" t="str">
        <f>G885</f>
        <v/>
      </c>
    </row>
    <row r="886">
      <c r="H886" s="5" t="str">
        <f>G887</f>
        <v/>
      </c>
    </row>
    <row r="888">
      <c r="H888" s="5" t="str">
        <f>G889</f>
        <v/>
      </c>
    </row>
    <row r="890">
      <c r="H890" s="5" t="str">
        <f>G891</f>
        <v/>
      </c>
    </row>
    <row r="892">
      <c r="H892" s="5" t="str">
        <f>G893</f>
        <v/>
      </c>
    </row>
    <row r="894">
      <c r="H894" s="5" t="str">
        <f>G895</f>
        <v/>
      </c>
    </row>
    <row r="896">
      <c r="H896" s="5" t="str">
        <f>G897</f>
        <v/>
      </c>
    </row>
    <row r="898">
      <c r="H898" s="5" t="str">
        <f>G899</f>
        <v/>
      </c>
    </row>
    <row r="900">
      <c r="H900" s="5" t="str">
        <f>G901</f>
        <v/>
      </c>
    </row>
    <row r="902">
      <c r="H902" s="5" t="str">
        <f>G903</f>
        <v/>
      </c>
    </row>
    <row r="904">
      <c r="H904" s="5" t="str">
        <f>G905</f>
        <v/>
      </c>
    </row>
    <row r="906">
      <c r="H906" s="5" t="str">
        <f>G907</f>
        <v/>
      </c>
    </row>
    <row r="908">
      <c r="H908" s="5" t="str">
        <f>G909</f>
        <v/>
      </c>
    </row>
    <row r="910">
      <c r="H910" s="5" t="str">
        <f>G911</f>
        <v/>
      </c>
    </row>
    <row r="912">
      <c r="H912" s="5" t="str">
        <f>G913</f>
        <v/>
      </c>
    </row>
    <row r="914">
      <c r="H914" s="5" t="str">
        <f>G915</f>
        <v/>
      </c>
    </row>
    <row r="916">
      <c r="H916" s="5" t="str">
        <f>G917</f>
        <v/>
      </c>
    </row>
    <row r="918">
      <c r="H918" s="5" t="str">
        <f>G919</f>
        <v/>
      </c>
    </row>
    <row r="920">
      <c r="H920" s="5" t="str">
        <f>G921</f>
        <v/>
      </c>
    </row>
    <row r="922">
      <c r="H922" s="5" t="str">
        <f>G923</f>
        <v/>
      </c>
    </row>
    <row r="924">
      <c r="H924" s="5" t="str">
        <f>G925</f>
        <v/>
      </c>
    </row>
    <row r="926">
      <c r="H926" s="5" t="str">
        <f>G927</f>
        <v/>
      </c>
    </row>
    <row r="928">
      <c r="H928" s="5" t="str">
        <f>G929</f>
        <v/>
      </c>
    </row>
    <row r="930">
      <c r="H930" s="5" t="str">
        <f>G931</f>
        <v/>
      </c>
    </row>
    <row r="932">
      <c r="H932" s="5" t="str">
        <f>G933</f>
        <v/>
      </c>
    </row>
    <row r="934">
      <c r="H934" s="5" t="str">
        <f>G935</f>
        <v/>
      </c>
    </row>
    <row r="936">
      <c r="H936" s="5" t="str">
        <f>G937</f>
        <v/>
      </c>
    </row>
    <row r="938">
      <c r="H938" s="5" t="str">
        <f>G939</f>
        <v/>
      </c>
    </row>
    <row r="940">
      <c r="H940" s="5" t="str">
        <f>G941</f>
        <v/>
      </c>
    </row>
    <row r="942">
      <c r="H942" s="5" t="str">
        <f>G943</f>
        <v/>
      </c>
    </row>
    <row r="944">
      <c r="H944" s="5" t="str">
        <f>G945</f>
        <v/>
      </c>
    </row>
    <row r="946">
      <c r="H946" s="5" t="str">
        <f>G947</f>
        <v/>
      </c>
    </row>
    <row r="948">
      <c r="H948" s="5" t="str">
        <f>G949</f>
        <v/>
      </c>
    </row>
    <row r="950">
      <c r="H950" s="5" t="str">
        <f>G951</f>
        <v/>
      </c>
    </row>
    <row r="952">
      <c r="H952" s="5" t="str">
        <f>G953</f>
        <v/>
      </c>
    </row>
    <row r="954">
      <c r="H954" s="5" t="str">
        <f>G955</f>
        <v/>
      </c>
    </row>
    <row r="956">
      <c r="H956" s="5" t="str">
        <f>G957</f>
        <v/>
      </c>
    </row>
    <row r="958">
      <c r="H958" s="5" t="str">
        <f>G959</f>
        <v/>
      </c>
    </row>
    <row r="960">
      <c r="H960" s="5" t="str">
        <f>G961</f>
        <v/>
      </c>
    </row>
    <row r="962">
      <c r="H962" s="5" t="str">
        <f>G963</f>
        <v/>
      </c>
    </row>
    <row r="964">
      <c r="H964" s="5" t="str">
        <f>G965</f>
        <v/>
      </c>
    </row>
    <row r="966">
      <c r="H966" s="5" t="str">
        <f>G967</f>
        <v/>
      </c>
    </row>
    <row r="968">
      <c r="H968" s="5" t="str">
        <f>G969</f>
        <v/>
      </c>
    </row>
    <row r="970">
      <c r="H970" s="5" t="str">
        <f>G971</f>
        <v/>
      </c>
    </row>
    <row r="972">
      <c r="H972" s="5" t="str">
        <f>G973</f>
        <v/>
      </c>
    </row>
    <row r="974">
      <c r="H974" s="5" t="str">
        <f>G975</f>
        <v/>
      </c>
    </row>
    <row r="976">
      <c r="H976" s="5" t="str">
        <f>G977</f>
        <v/>
      </c>
    </row>
    <row r="978">
      <c r="H978" s="5" t="str">
        <f>G979</f>
        <v/>
      </c>
    </row>
    <row r="980">
      <c r="H980" s="5" t="str">
        <f>G981</f>
        <v/>
      </c>
    </row>
    <row r="982">
      <c r="H982" s="5" t="str">
        <f>G983</f>
        <v/>
      </c>
    </row>
    <row r="984">
      <c r="H984" s="5" t="str">
        <f>G985</f>
        <v/>
      </c>
    </row>
    <row r="986">
      <c r="H986" s="5" t="str">
        <f>G987</f>
        <v/>
      </c>
    </row>
    <row r="988">
      <c r="H988" s="5" t="str">
        <f>G989</f>
        <v/>
      </c>
    </row>
    <row r="990">
      <c r="H990" s="5" t="str">
        <f>G991</f>
        <v/>
      </c>
    </row>
    <row r="992">
      <c r="H992" s="5" t="str">
        <f>G993</f>
        <v/>
      </c>
    </row>
    <row r="994">
      <c r="H994" s="5" t="str">
        <f>G995</f>
        <v/>
      </c>
    </row>
    <row r="996">
      <c r="H996" s="5" t="str">
        <f>G997</f>
        <v/>
      </c>
    </row>
    <row r="998">
      <c r="H998" s="5" t="str">
        <f>G999</f>
        <v/>
      </c>
    </row>
  </sheetData>
  <hyperlinks>
    <hyperlink r:id="rId1" ref="R1"/>
    <hyperlink r:id="rId2" ref="A2"/>
    <hyperlink r:id="rId3" ref="S2"/>
    <hyperlink r:id="rId4" ref="W2"/>
    <hyperlink r:id="rId5" ref="S3"/>
    <hyperlink r:id="rId6" ref="W3"/>
    <hyperlink r:id="rId7" ref="A4"/>
    <hyperlink r:id="rId8" ref="S4"/>
    <hyperlink r:id="rId9" ref="W4"/>
    <hyperlink r:id="rId10" ref="S5"/>
    <hyperlink r:id="rId11" ref="W5"/>
    <hyperlink r:id="rId12" ref="A6"/>
    <hyperlink r:id="rId13" ref="S6"/>
    <hyperlink r:id="rId14" ref="W6"/>
    <hyperlink r:id="rId15" ref="S7"/>
    <hyperlink r:id="rId16" ref="W7"/>
    <hyperlink r:id="rId17" ref="A8"/>
    <hyperlink r:id="rId18" ref="S8"/>
    <hyperlink r:id="rId19" ref="W8"/>
    <hyperlink r:id="rId20" ref="S9"/>
    <hyperlink r:id="rId21" ref="W9"/>
    <hyperlink r:id="rId22" ref="A10"/>
    <hyperlink r:id="rId23" ref="S10"/>
    <hyperlink r:id="rId24" ref="W10"/>
    <hyperlink r:id="rId25" ref="S11"/>
    <hyperlink r:id="rId26" ref="W11"/>
    <hyperlink r:id="rId27" ref="A12"/>
    <hyperlink r:id="rId28" ref="S12"/>
    <hyperlink r:id="rId29" ref="W12"/>
    <hyperlink r:id="rId30" ref="S13"/>
    <hyperlink r:id="rId31" ref="W13"/>
    <hyperlink r:id="rId32" ref="A14"/>
    <hyperlink r:id="rId33" ref="S14"/>
    <hyperlink r:id="rId34" ref="W14"/>
    <hyperlink r:id="rId35" ref="S15"/>
    <hyperlink r:id="rId36" ref="W15"/>
    <hyperlink r:id="rId37" ref="A16"/>
    <hyperlink r:id="rId38" ref="S16"/>
    <hyperlink r:id="rId39" ref="W16"/>
    <hyperlink r:id="rId40" ref="S17"/>
    <hyperlink r:id="rId41" ref="W17"/>
    <hyperlink r:id="rId42" ref="A18"/>
    <hyperlink r:id="rId43" ref="S18"/>
    <hyperlink r:id="rId44" ref="W18"/>
    <hyperlink r:id="rId45" ref="S19"/>
    <hyperlink r:id="rId46" ref="W19"/>
    <hyperlink r:id="rId47" ref="A20"/>
    <hyperlink r:id="rId48" ref="S20"/>
    <hyperlink r:id="rId49" ref="W20"/>
    <hyperlink r:id="rId50" ref="G21"/>
    <hyperlink r:id="rId51" ref="S21"/>
    <hyperlink r:id="rId52" ref="W21"/>
    <hyperlink r:id="rId53" ref="A22"/>
    <hyperlink r:id="rId54" ref="S22"/>
    <hyperlink r:id="rId55" ref="W22"/>
    <hyperlink r:id="rId56" ref="G23"/>
    <hyperlink r:id="rId57" ref="S23"/>
    <hyperlink r:id="rId58" ref="A24"/>
    <hyperlink r:id="rId59" ref="S24"/>
    <hyperlink r:id="rId60" ref="G25"/>
    <hyperlink r:id="rId61" ref="S25"/>
    <hyperlink r:id="rId62" ref="A26"/>
    <hyperlink r:id="rId63" ref="S26"/>
    <hyperlink r:id="rId64" ref="G27"/>
    <hyperlink r:id="rId65" ref="S27"/>
    <hyperlink r:id="rId66" ref="A28"/>
    <hyperlink r:id="rId67" ref="S28"/>
    <hyperlink r:id="rId68" ref="G29"/>
    <hyperlink r:id="rId69" ref="S29"/>
    <hyperlink r:id="rId70" ref="A30"/>
    <hyperlink r:id="rId71" ref="S30"/>
    <hyperlink r:id="rId72" ref="G31"/>
    <hyperlink r:id="rId73" ref="S31"/>
    <hyperlink r:id="rId74" ref="A32"/>
    <hyperlink r:id="rId75" ref="S32"/>
    <hyperlink r:id="rId76" ref="G33"/>
    <hyperlink r:id="rId77" ref="S33"/>
    <hyperlink r:id="rId78" ref="A34"/>
    <hyperlink r:id="rId79" ref="S34"/>
    <hyperlink r:id="rId80" ref="G35"/>
    <hyperlink r:id="rId81" ref="S35"/>
    <hyperlink r:id="rId82" ref="A36"/>
    <hyperlink r:id="rId83" ref="S36"/>
    <hyperlink r:id="rId84" ref="G37"/>
    <hyperlink r:id="rId85" ref="S37"/>
    <hyperlink r:id="rId86" ref="A38"/>
    <hyperlink r:id="rId87" ref="S38"/>
    <hyperlink r:id="rId88" ref="G39"/>
    <hyperlink r:id="rId89" ref="S39"/>
    <hyperlink r:id="rId90" ref="A40"/>
    <hyperlink r:id="rId91" ref="S40"/>
    <hyperlink r:id="rId92" ref="G41"/>
    <hyperlink r:id="rId93" ref="S41"/>
    <hyperlink r:id="rId94" ref="A42"/>
    <hyperlink r:id="rId95" ref="S42"/>
    <hyperlink r:id="rId96" ref="G43"/>
    <hyperlink r:id="rId97" ref="S43"/>
    <hyperlink r:id="rId98" ref="A44"/>
    <hyperlink r:id="rId99" ref="S44"/>
    <hyperlink r:id="rId100" ref="G45"/>
    <hyperlink r:id="rId101" ref="S45"/>
    <hyperlink r:id="rId102" ref="A46"/>
    <hyperlink r:id="rId103" ref="S46"/>
    <hyperlink r:id="rId104" ref="G47"/>
    <hyperlink r:id="rId105" ref="S47"/>
    <hyperlink r:id="rId106" ref="A48"/>
    <hyperlink r:id="rId107" ref="S48"/>
    <hyperlink r:id="rId108" ref="G49"/>
    <hyperlink r:id="rId109" ref="S49"/>
    <hyperlink r:id="rId110" ref="A50"/>
    <hyperlink r:id="rId111" ref="S50"/>
    <hyperlink r:id="rId112" ref="G51"/>
    <hyperlink r:id="rId113" ref="S51"/>
    <hyperlink r:id="rId114" ref="A52"/>
    <hyperlink r:id="rId115" ref="S52"/>
    <hyperlink r:id="rId116" ref="G53"/>
    <hyperlink r:id="rId117" ref="S53"/>
    <hyperlink r:id="rId118" ref="A54"/>
    <hyperlink r:id="rId119" ref="S54"/>
    <hyperlink r:id="rId120" ref="G55"/>
    <hyperlink r:id="rId121" ref="S55"/>
    <hyperlink r:id="rId122" ref="A56"/>
    <hyperlink r:id="rId123" ref="S56"/>
    <hyperlink r:id="rId124" ref="G57"/>
    <hyperlink r:id="rId125" ref="S57"/>
    <hyperlink r:id="rId126" ref="A58"/>
    <hyperlink r:id="rId127" ref="S58"/>
    <hyperlink r:id="rId128" ref="G59"/>
    <hyperlink r:id="rId129" ref="S59"/>
    <hyperlink r:id="rId130" ref="A60"/>
    <hyperlink r:id="rId131" ref="S60"/>
    <hyperlink r:id="rId132" ref="G61"/>
    <hyperlink r:id="rId133" ref="S61"/>
    <hyperlink r:id="rId134" ref="A62"/>
    <hyperlink r:id="rId135" ref="S62"/>
    <hyperlink r:id="rId136" ref="G63"/>
    <hyperlink r:id="rId137" ref="S63"/>
    <hyperlink r:id="rId138" ref="A64"/>
    <hyperlink r:id="rId139" ref="S64"/>
    <hyperlink r:id="rId140" ref="G65"/>
    <hyperlink r:id="rId141" ref="S65"/>
    <hyperlink r:id="rId142" ref="A66"/>
    <hyperlink r:id="rId143" ref="S66"/>
    <hyperlink r:id="rId144" ref="G67"/>
    <hyperlink r:id="rId145" ref="S67"/>
    <hyperlink r:id="rId146" ref="A68"/>
    <hyperlink r:id="rId147" ref="S68"/>
    <hyperlink r:id="rId148" ref="G69"/>
    <hyperlink r:id="rId149" ref="S69"/>
    <hyperlink r:id="rId150" ref="A70"/>
    <hyperlink r:id="rId151" ref="S70"/>
    <hyperlink r:id="rId152" ref="G71"/>
    <hyperlink r:id="rId153" ref="S71"/>
    <hyperlink r:id="rId154" ref="A72"/>
    <hyperlink r:id="rId155" ref="S72"/>
    <hyperlink r:id="rId156" ref="G73"/>
    <hyperlink r:id="rId157" ref="S73"/>
    <hyperlink r:id="rId158" ref="A74"/>
    <hyperlink r:id="rId159" ref="S74"/>
    <hyperlink r:id="rId160" ref="G75"/>
    <hyperlink r:id="rId161" ref="S75"/>
    <hyperlink r:id="rId162" ref="A76"/>
    <hyperlink r:id="rId163" ref="S76"/>
    <hyperlink r:id="rId164" ref="G77"/>
    <hyperlink r:id="rId165" ref="S77"/>
    <hyperlink r:id="rId166" ref="A78"/>
    <hyperlink r:id="rId167" ref="G79"/>
    <hyperlink r:id="rId168" ref="A80"/>
    <hyperlink r:id="rId169" ref="G81"/>
    <hyperlink r:id="rId170" ref="A82"/>
    <hyperlink r:id="rId171" ref="G83"/>
    <hyperlink r:id="rId172" ref="A84"/>
    <hyperlink r:id="rId173" ref="G85"/>
    <hyperlink r:id="rId174" ref="A86"/>
    <hyperlink r:id="rId175" ref="G87"/>
    <hyperlink r:id="rId176" ref="A88"/>
    <hyperlink r:id="rId177" ref="G89"/>
    <hyperlink r:id="rId178" ref="A90"/>
    <hyperlink r:id="rId179" ref="G91"/>
    <hyperlink r:id="rId180" ref="A92"/>
    <hyperlink r:id="rId181" ref="G93"/>
    <hyperlink r:id="rId182" ref="A94"/>
    <hyperlink r:id="rId183" ref="G95"/>
    <hyperlink r:id="rId184" ref="A96"/>
    <hyperlink r:id="rId185" ref="G97"/>
    <hyperlink r:id="rId186" ref="A98"/>
    <hyperlink r:id="rId187" ref="G99"/>
    <hyperlink r:id="rId188" ref="A100"/>
    <hyperlink r:id="rId189" ref="G101"/>
    <hyperlink r:id="rId190" ref="A102"/>
    <hyperlink r:id="rId191" ref="G103"/>
    <hyperlink r:id="rId192" ref="A104"/>
    <hyperlink r:id="rId193" ref="G105"/>
    <hyperlink r:id="rId194" ref="A106"/>
    <hyperlink r:id="rId195" ref="G107"/>
    <hyperlink r:id="rId196" ref="A108"/>
    <hyperlink r:id="rId197" ref="G109"/>
    <hyperlink r:id="rId198" ref="A110"/>
    <hyperlink r:id="rId199" ref="G111"/>
    <hyperlink r:id="rId200" ref="A112"/>
    <hyperlink r:id="rId201" ref="G113"/>
    <hyperlink r:id="rId202" ref="A114"/>
    <hyperlink r:id="rId203" ref="G115"/>
    <hyperlink r:id="rId204" ref="A116"/>
    <hyperlink r:id="rId205" ref="G117"/>
    <hyperlink r:id="rId206" ref="A118"/>
    <hyperlink r:id="rId207" ref="G119"/>
    <hyperlink r:id="rId208" ref="A120"/>
    <hyperlink r:id="rId209" ref="G121"/>
    <hyperlink r:id="rId210" ref="A122"/>
    <hyperlink r:id="rId211" ref="G123"/>
    <hyperlink r:id="rId212" ref="A124"/>
    <hyperlink r:id="rId213" ref="G125"/>
    <hyperlink r:id="rId214" ref="A126"/>
    <hyperlink r:id="rId215" ref="G127"/>
    <hyperlink r:id="rId216" ref="A128"/>
    <hyperlink r:id="rId217" ref="G129"/>
    <hyperlink r:id="rId218" ref="A130"/>
    <hyperlink r:id="rId219" ref="G131"/>
    <hyperlink r:id="rId220" ref="A132"/>
    <hyperlink r:id="rId221" ref="G133"/>
    <hyperlink r:id="rId222" ref="A134"/>
    <hyperlink r:id="rId223" ref="G135"/>
    <hyperlink r:id="rId224" ref="A136"/>
    <hyperlink r:id="rId225" ref="G137"/>
    <hyperlink r:id="rId226" ref="A138"/>
    <hyperlink r:id="rId227" ref="G139"/>
    <hyperlink r:id="rId228" ref="A140"/>
    <hyperlink r:id="rId229" ref="G141"/>
    <hyperlink r:id="rId230" ref="A142"/>
    <hyperlink r:id="rId231" ref="G143"/>
    <hyperlink r:id="rId232" ref="A144"/>
    <hyperlink r:id="rId233" ref="G145"/>
    <hyperlink r:id="rId234" ref="A146"/>
    <hyperlink r:id="rId235" ref="G147"/>
    <hyperlink r:id="rId236" ref="A148"/>
    <hyperlink r:id="rId237" ref="G149"/>
    <hyperlink r:id="rId238" ref="A150"/>
    <hyperlink r:id="rId239" ref="G151"/>
    <hyperlink r:id="rId240" ref="A152"/>
    <hyperlink r:id="rId241" ref="G153"/>
    <hyperlink r:id="rId242" ref="A154"/>
    <hyperlink r:id="rId243" ref="G155"/>
  </hyperlinks>
  <drawing r:id="rId24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</v>
      </c>
      <c r="B1" s="2" t="s">
        <v>20</v>
      </c>
      <c r="C1" s="2" t="s">
        <v>723</v>
      </c>
      <c r="D1" s="2" t="s">
        <v>21</v>
      </c>
      <c r="E1" s="2" t="s">
        <v>22</v>
      </c>
      <c r="F1" s="2" t="s">
        <v>23</v>
      </c>
      <c r="G1" s="2" t="s">
        <v>45</v>
      </c>
      <c r="H1" s="2" t="s">
        <v>46</v>
      </c>
      <c r="I1" s="2" t="s">
        <v>54</v>
      </c>
      <c r="J1" s="2" t="s">
        <v>27</v>
      </c>
    </row>
    <row r="2">
      <c r="A2" s="2" t="s">
        <v>28</v>
      </c>
      <c r="B2" s="2" t="s">
        <v>29</v>
      </c>
      <c r="C2" s="2" t="s">
        <v>39</v>
      </c>
      <c r="D2" s="2" t="s">
        <v>30</v>
      </c>
      <c r="E2" s="2" t="s">
        <v>42</v>
      </c>
      <c r="F2" s="6"/>
      <c r="G2" s="2" t="s">
        <v>598</v>
      </c>
      <c r="H2" s="2" t="s">
        <v>726</v>
      </c>
      <c r="I2" s="2" t="s">
        <v>47</v>
      </c>
      <c r="J2" s="6"/>
    </row>
    <row r="3">
      <c r="A3" s="17" t="s">
        <v>727</v>
      </c>
      <c r="B3" s="2" t="s">
        <v>32</v>
      </c>
      <c r="C3" s="2"/>
      <c r="D3" s="2" t="s">
        <v>728</v>
      </c>
      <c r="E3" s="6"/>
      <c r="F3" s="6"/>
      <c r="G3" s="2" t="s">
        <v>729</v>
      </c>
      <c r="H3" s="6"/>
      <c r="I3" s="6"/>
      <c r="J3" s="6"/>
    </row>
    <row r="4">
      <c r="A4" s="2" t="s">
        <v>31</v>
      </c>
      <c r="B4" s="6"/>
      <c r="C4" s="6"/>
      <c r="D4" s="2" t="s">
        <v>730</v>
      </c>
      <c r="E4" s="6"/>
      <c r="F4" s="6"/>
      <c r="G4" s="2" t="s">
        <v>731</v>
      </c>
      <c r="H4" s="6"/>
      <c r="I4" s="6"/>
      <c r="J4" s="6"/>
    </row>
    <row r="5">
      <c r="A5" s="17" t="s">
        <v>34</v>
      </c>
      <c r="D5" s="17" t="s">
        <v>732</v>
      </c>
      <c r="G5" s="17" t="s">
        <v>734</v>
      </c>
    </row>
  </sheetData>
  <drawing r:id="rId1"/>
</worksheet>
</file>